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PARAMETROS" sheetId="1" state="visible" r:id="rId1"/>
    <sheet name="BASE" sheetId="2" state="visible" r:id="rId2"/>
    <sheet name="RESUMEN ESCENARI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\ #,##0"/>
    <numFmt numFmtId="165" formatCode="0.0%"/>
    <numFmt numFmtId="166" formatCode="mm/yyyy"/>
    <numFmt numFmtId="167" formatCode="$ #,##0"/>
  </numFmts>
  <fonts count="22">
    <font>
      <name val="Calibri"/>
      <family val="2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i val="1"/>
      <color rgb="FFC00000"/>
      <sz val="9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FFFF"/>
      <sz val="10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C00000"/>
      <sz val="9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EFEFEF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7F1D1D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6" fillId="12" borderId="0" applyAlignment="1" pivotButton="0" quotePrefix="0" xfId="0">
      <alignment vertical="center"/>
    </xf>
    <xf numFmtId="0" fontId="17" fillId="1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167" fontId="19" fillId="0" borderId="2" applyAlignment="1" pivotButton="0" quotePrefix="0" xfId="0">
      <alignment vertical="center"/>
    </xf>
    <xf numFmtId="0" fontId="19" fillId="0" borderId="2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1" fillId="13" borderId="0" applyAlignment="1" pivotButton="0" quotePrefix="0" xfId="0">
      <alignment vertical="center"/>
    </xf>
    <xf numFmtId="0" fontId="19" fillId="14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167" fontId="18" fillId="0" borderId="0" applyAlignment="1" pivotButton="0" quotePrefix="0" xfId="0">
      <alignment vertical="center"/>
    </xf>
    <xf numFmtId="0" fontId="21" fillId="17" borderId="0" applyAlignment="1" pivotButton="0" quotePrefix="0" xfId="0">
      <alignment vertical="center"/>
    </xf>
    <xf numFmtId="0" fontId="17" fillId="17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alignment horizontal="center" vertical="center"/>
    </dxf>
    <dxf>
      <font>
        <b val="1"/>
      </font>
      <alignment horizontal="center" vertical="center"/>
    </dxf>
    <dxf>
      <font>
        <b val="1"/>
      </font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ase76" displayName="Base76" ref="A1:X76" headerRowCount="1">
  <autoFilter ref="A1:X76"/>
  <sortState ref="A2:U76">
    <sortCondition descending="1" ref="B1:B76"/>
  </sortState>
  <tableColumns count="24">
    <tableColumn id="1" name="Prioridad"/>
    <tableColumn id="2" name="Tier Base"/>
    <tableColumn id="3" name="Bolsa"/>
    <tableColumn id="4" name="Comentario"/>
    <tableColumn id="5" name="Codigo Cliente"/>
    <tableColumn id="6" name="Cliente / PDV (Nombre de Fantasia)"/>
    <tableColumn id="7" name="Razon Social (Distribuidor)"/>
    <tableColumn id="8" name="Marca"/>
    <tableColumn id="9" name="Rubro"/>
    <tableColumn id="10" name="Vigencia Desde"/>
    <tableColumn id="11" name="Vigencia Hasta"/>
    <tableColumn id="12" name="Duracion (meses)"/>
    <tableColumn id="13" name="Comentario original"/>
    <tableColumn id="14" name="Monto FEE Actual (pagado)"/>
    <tableColumn id="15" name="% Inflacion acumulada aplicable"/>
    <tableColumn id="16" name="Criterio 1 - PAUTA CMQ"/>
    <tableColumn id="17" name="Criterio 2 - FEE + Inflacion"/>
    <tableColumn id="18" name="Criterio 3 - Punto medio">
      <calculatedColumnFormula>AVERAGE(P2,Q2)</calculatedColumnFormula>
    </tableColumn>
    <tableColumn id="19" name="Acumulado Criterio 1: PAUTA CMQ"/>
    <tableColumn id="20" name="Acumulado Criterio 2: INFLACION"/>
    <tableColumn id="21" name="Acumulado Criterio 3: PUNTO MEDIO"/>
    <tableColumn id="22" name="ESCENARIO 1: ZBB 1.400M" dataDxfId="4"/>
    <tableColumn id="23" name="ESCENARIO 2: ZBB + TS 50% 1.600M" dataDxfId="3"/>
    <tableColumn id="24" name="ESCENARIO 3 ZBB+ TS: 2.000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topLeftCell="A15" workbookViewId="0">
      <selection activeCell="B45" sqref="B45"/>
    </sheetView>
  </sheetViews>
  <sheetFormatPr baseColWidth="10" defaultColWidth="8.7265625" defaultRowHeight="14.5"/>
  <cols>
    <col width="46" customWidth="1" style="32" min="1" max="1"/>
    <col width="22" customWidth="1" style="32" min="2" max="2"/>
    <col width="60" customWidth="1" style="32" min="3" max="3"/>
    <col width="12.36328125" bestFit="1" customWidth="1" style="32" min="5" max="5"/>
  </cols>
  <sheetData>
    <row r="1" ht="18" customHeight="1" s="32">
      <c r="A1" s="1" t="inlineStr">
        <is>
          <t>RENOVACION DE CONTRATOS FEE 2026 - PARAMETROS Y SUPUESTOS</t>
        </is>
      </c>
    </row>
    <row r="2" ht="28" customHeight="1" s="32">
      <c r="A2" s="2" t="inlineStr">
        <is>
          <t>Universo de analisis: 76 contratos FEE (2026) - bolsas ZBB y Trade Spend combinadas. El presupuesto de cada escenario se evalua contra el total de los 76 clientes, priorizados por importancia (no por bolsa de origen).</t>
        </is>
      </c>
    </row>
    <row r="4">
      <c r="A4" s="3" t="inlineStr">
        <is>
          <t>BOLSAS DE PRESUPUESTO PAGADAS EN 2026 (referencia historica, archivo original)</t>
        </is>
      </c>
    </row>
    <row r="5">
      <c r="A5" s="4" t="inlineStr">
        <is>
          <t>Total pagado bolsa ZBB (30 contratos)</t>
        </is>
      </c>
      <c r="B5" s="5" t="n">
        <v>1101000000</v>
      </c>
      <c r="C5" s="4" t="inlineStr">
        <is>
          <t>Dato provisto por el usuario, verificado contra el archivo FEE_2026.xlsx.</t>
        </is>
      </c>
    </row>
    <row r="6">
      <c r="A6" s="4" t="inlineStr">
        <is>
          <t>Total pagado bolsa Trade Spend (46 contratos)</t>
        </is>
      </c>
      <c r="B6" s="5" t="n">
        <v>679000000</v>
      </c>
      <c r="C6" s="4" t="inlineStr">
        <is>
          <t>Antes fuera de alcance; a pedido del usuario ahora se incluyen los 46 clientes en el ranking unico de priorizacion (misma importancia que ZBB).</t>
        </is>
      </c>
    </row>
    <row r="7">
      <c r="A7" s="4" t="inlineStr">
        <is>
          <t>Total pagado ambas bolsas (76 contratos)</t>
        </is>
      </c>
      <c r="B7" s="5" t="n">
        <v>1780000000</v>
      </c>
      <c r="C7" s="4" t="inlineStr">
        <is>
          <t>Referencia. Verificado contra el archivo original (suma exacta).</t>
        </is>
      </c>
    </row>
    <row r="9" ht="28" customHeight="1" s="32">
      <c r="A9" s="3" t="inlineStr">
        <is>
          <t>ESCENARIOS DE PRESUPUESTO DISPONIBLE (aplica sobre el universo completo de 76 contratos)</t>
        </is>
      </c>
    </row>
    <row r="10">
      <c r="A10" s="4" t="inlineStr">
        <is>
          <t>Escenario 1 - Presupuesto disponible hoy (misma bolsa ZBB)</t>
        </is>
      </c>
      <c r="B10" s="5" t="n">
        <v>1430276270</v>
      </c>
      <c r="C10" s="4" t="inlineStr">
        <is>
          <t>Dato provisto por el usuario.</t>
        </is>
      </c>
    </row>
    <row r="11">
      <c r="A11" s="4" t="inlineStr">
        <is>
          <t>Escenario 2 - Adicional a conseguir</t>
        </is>
      </c>
      <c r="B11" s="5" t="n">
        <v>219723730</v>
      </c>
      <c r="C11" s="4" t="inlineStr">
        <is>
          <t>Dato provisto por el usuario.</t>
        </is>
      </c>
      <c r="E11" s="27" t="n"/>
    </row>
    <row r="12">
      <c r="A12" s="4" t="inlineStr">
        <is>
          <t>Escenario 2 - Total teorico (Esc.1 + Adicional)</t>
        </is>
      </c>
      <c r="B12" s="6">
        <f>$B$10+B11</f>
        <v/>
      </c>
      <c r="C12" s="4" t="n"/>
    </row>
    <row r="13">
      <c r="A13" s="4" t="inlineStr">
        <is>
          <t>Escenario 2 - Total CONFIRMADO a usar en el modelo</t>
        </is>
      </c>
      <c r="B13" s="7" t="n">
        <v>1650000000</v>
      </c>
      <c r="C13" s="4" t="inlineStr">
        <is>
          <t>VALOR USADO EN EL MODELO (celda editable). Ajustar si el numero correcto es otro.</t>
        </is>
      </c>
    </row>
    <row r="14">
      <c r="A14" s="4" t="inlineStr">
        <is>
          <t>Escenario 3 - Presupuesto total disponible</t>
        </is>
      </c>
      <c r="B14" s="5" t="n">
        <v>2000000000</v>
      </c>
      <c r="C14" s="4" t="inlineStr">
        <is>
          <t>Dato provisto por el usuario.</t>
        </is>
      </c>
    </row>
    <row r="16">
      <c r="A16" s="3" t="inlineStr">
        <is>
          <t>TABLA DE INFLACION ACUMULADA POR DURACION (fuente: hoja Hoja5 del archivo original)</t>
        </is>
      </c>
    </row>
    <row r="17">
      <c r="A17" s="8" t="inlineStr">
        <is>
          <t>Duracion contrato (meses)</t>
        </is>
      </c>
      <c r="B17" s="9" t="inlineStr">
        <is>
          <t>Inflacion acumulada</t>
        </is>
      </c>
    </row>
    <row r="18">
      <c r="A18" s="10" t="n">
        <v>12</v>
      </c>
      <c r="B18" s="11" t="n">
        <v>0.25</v>
      </c>
    </row>
    <row r="19">
      <c r="A19" s="10" t="n">
        <v>24</v>
      </c>
      <c r="B19" s="11" t="n">
        <v>0.68</v>
      </c>
    </row>
    <row r="20">
      <c r="A20" s="10" t="n">
        <v>36</v>
      </c>
      <c r="B20" s="11" t="n">
        <v>2.13</v>
      </c>
    </row>
    <row r="21" ht="37.5" customHeight="1" s="32">
      <c r="A21" s="12" t="inlineStr">
        <is>
          <t>Nota</t>
        </is>
      </c>
      <c r="C21" s="13" t="inlineStr">
        <is>
          <t>Para contratos con duracion intermedia (10, 21 meses), el archivo original aplico manualmente la tasa del tramo mas cercano (10m -&gt; 12m; 21m -&gt; 24m). Se replico igual criterio.</t>
        </is>
      </c>
    </row>
    <row r="23">
      <c r="A23" s="3" t="inlineStr">
        <is>
          <t>CRITERIOS DE COSTO DE RENOVACION (3 referencias en paralelo)</t>
        </is>
      </c>
    </row>
    <row r="24" ht="37.5" customHeight="1" s="32">
      <c r="A24" s="12" t="inlineStr">
        <is>
          <t>Criterio 1 - FEE Actualizado</t>
        </is>
      </c>
      <c r="C24" s="31" t="inlineStr">
        <is>
          <t>Valor de referencia de mercado/sistema tomado del archivo original (columna "FEE ACTUALIZADO"). Dato fijo: su formula original enlazaba a un archivo externo no disponible.</t>
        </is>
      </c>
    </row>
    <row r="25">
      <c r="A25" s="12" t="inlineStr">
        <is>
          <t>Criterio 2 - FEE + Inflacion acumulada</t>
        </is>
      </c>
      <c r="C25" s="31" t="inlineStr">
        <is>
          <t>Formula: Monto FEE actual x (1 + Inflacion acumulada segun duracion).</t>
        </is>
      </c>
    </row>
    <row r="26" ht="62.5" customHeight="1" s="32">
      <c r="A26" s="12" t="inlineStr">
        <is>
          <t>Criterio 3 - Punto medio (NUEVO)</t>
        </is>
      </c>
      <c r="C26" s="31" t="inlineStr">
        <is>
          <t>Formula: promedio simple entre el Monto FEE Actual (lo que se pago en su momento) y el Criterio 2 (FEE + inflacion). Sirve como referencia intermedia de negociacion. Supuesto: si el "punto medio" pedido era entre Criterio 1 y Criterio 2 en vez de Monto FEE y Criterio 2, avisar para ajustar la formula.</t>
        </is>
      </c>
    </row>
    <row r="28">
      <c r="A28" s="3" t="inlineStr">
        <is>
          <t>PRIORIZACION Y ALCANCE</t>
        </is>
      </c>
    </row>
    <row r="29" ht="30" customHeight="1" s="32">
      <c r="A29" s="31" t="inlineStr">
        <is>
          <t>1) Los 76 contratos (ZBB + Trade Spend) se ordenan juntos por Tier (IMPERDIBLE &gt; DISCUTIBLE &gt; CERRO) y, dentro de cada tier, por Monto FEE actual descendente (proxy de importancia por defecto). La bolsa de origen (columna "Bolsa") es solo informativa/filtrable, no afecta el orden.</t>
        </is>
      </c>
    </row>
    <row r="30" ht="30" customHeight="1" s="32">
      <c r="A30" s="31" t="inlineStr">
        <is>
          <t>2) La columna "Prioridad" (hoja BASE) es editable: para cambiar el orden manual, escribir el numero deseado y reordenar las filas (Datos &gt; Ordenar por columna Prioridad) para que los acumulados se recalculen bien.</t>
        </is>
      </c>
    </row>
    <row r="31" ht="30" customHeight="1" s="32">
      <c r="A31" s="31" t="inlineStr">
        <is>
          <t>3) El tier "CERRO" (locales que cierran / cambian de dueño y no renuevan) se excluye automaticamente de los 3 escenarios, sin consumir presupuesto (1 contrato: Helena Beach, ZBB, $110.000.000).</t>
        </is>
      </c>
    </row>
    <row r="32" ht="39" customHeight="1" s="32">
      <c r="A32" s="31" t="inlineStr">
        <is>
          <t>4) "Cliente" = cada fila / punto de venta (Nombre de Fantasia). Un mismo Razon Social/Distribuidor puede tener varios clientes (ej. COMERCIAL DEL MAR SA).</t>
        </is>
      </c>
    </row>
    <row r="33" ht="44.5" customHeight="1" s="32">
      <c r="A33" s="31" t="inlineStr">
        <is>
          <t>5) El universo completo (75 contratos sin CERRO) requiere aprox. $2.028M bajo Criterio 1, $2.188M bajo Criterio 3 (punto medio) y $2.706M bajo Criterio 2 para renovarse por completo. Los 3 escenarios ($1.430M / $1.650M / $2.000M) quedan por debajo en la mayoria de los casos: usar la hoja RESUMEN para ver cuanto alcanza cada uno.</t>
        </is>
      </c>
    </row>
    <row r="35">
      <c r="A35" s="15" t="inlineStr">
        <is>
          <t>ALERTAS DE CALIDAD DE DATO (revisar antes de presentar)</t>
        </is>
      </c>
    </row>
    <row r="36" ht="40" customHeight="1" s="32">
      <c r="A36" s="12" t="inlineStr">
        <is>
          <t>Helena Beach (ZBB, COMERCIAL DEL MAR SA)</t>
        </is>
      </c>
      <c r="C36" s="31" t="inlineStr">
        <is>
          <t>Codigo cliente = "CERRO CAMBIA DE DUEÑOS Y FORMATO" y tier=CERRO. El "FEE ACTUALIZADO" (Criterio 1) vino en $0 (sin dato de origen). Excluido de todos los escenarios por ser CERRO.</t>
        </is>
      </c>
    </row>
    <row r="37" ht="40" customHeight="1" s="32">
      <c r="A37" s="12" t="inlineStr">
        <is>
          <t>Casa Pampa (ZBB, COMERCIAL DEL MAR SA)</t>
        </is>
      </c>
      <c r="C37" s="31" t="inlineStr">
        <is>
          <t>Codigo cliente = "CERRO CAMBIA DE FORMATO PARA SER CALAMAR LOCO HOSTELS" pero tier de ventas = IMPERDIBLE (cambia de formato/marca pero continuaria). Confirmar si corresponde mantenerlo como renovable.</t>
        </is>
      </c>
    </row>
    <row r="38" ht="40" customHeight="1" s="32">
      <c r="A38" s="12" t="inlineStr">
        <is>
          <t>Negroni Helena (ZBB, BEBIDAS DEL MAR S.A.)</t>
        </is>
      </c>
      <c r="C38" s="31" t="inlineStr">
        <is>
          <t>Codigo cliente = "CERRO" y el comentario dice "No renueva; cerro", pero el tier quedo IMPERDIBLE. Contradiccion a resolver: hoy se mantiene como IMPERDIBLE en el ranking.</t>
        </is>
      </c>
    </row>
    <row r="39" ht="40" customHeight="1" s="32">
      <c r="A39" s="12" t="inlineStr">
        <is>
          <t>El Descorche (ZBB, BEER TAN S.A.)</t>
        </is>
      </c>
      <c r="C39" s="31" t="inlineStr">
        <is>
          <t>Comentario: "Renueva sin fee; no tiene volumen significativo y no esta en LOL". Podria no requerir presupuesto para renovarse (fee=0). Se mantuvo con su Monto FEE actual por consistencia.</t>
        </is>
      </c>
    </row>
    <row r="40" ht="40" customHeight="1" s="32">
      <c r="A40" s="12" t="inlineStr">
        <is>
          <t>El Calamar Loco PG (TS, COMERCIAL DEL MAR SA)</t>
        </is>
      </c>
      <c r="C40" s="31" t="inlineStr">
        <is>
          <t>El "FEE ACTUALIZADO" (Criterio 1) vino en $0 en el archivo original (sin dato de origen / formula rota). Verificar valor real de mercado antes de usar Criterio 1 para este contrato.</t>
        </is>
      </c>
    </row>
    <row r="41" ht="40" customHeight="1" s="32">
      <c r="A41" s="12" t="inlineStr">
        <is>
          <t>Honu Beach (TS, COMERCIAL DEL MAR SA)</t>
        </is>
      </c>
      <c r="C41" s="31" t="inlineStr">
        <is>
          <t>El "FEE ACTUALIZADO" (Criterio 1) vino en $0 en el archivo original (sin dato de origen / formula rota). Verificar valor real de mercado antes de usar Criterio 1 para este contrato.</t>
        </is>
      </c>
    </row>
  </sheetData>
  <mergeCells count="5">
    <mergeCell ref="A33:C33"/>
    <mergeCell ref="A32:C32"/>
    <mergeCell ref="A31:C31"/>
    <mergeCell ref="A30:C30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tabSelected="1" workbookViewId="0">
      <pane xSplit="4" ySplit="1" topLeftCell="S2" activePane="bottomRight" state="frozen"/>
      <selection pane="topRight" activeCell="A1" sqref="A1"/>
      <selection pane="bottomLeft" activeCell="A1" sqref="A1"/>
      <selection pane="bottomRight" activeCell="V9" sqref="V9"/>
    </sheetView>
  </sheetViews>
  <sheetFormatPr baseColWidth="10" defaultColWidth="8.7265625" defaultRowHeight="14.5"/>
  <cols>
    <col width="9" customWidth="1" style="32" min="1" max="1"/>
    <col width="12" customWidth="1" style="32" min="2" max="2"/>
    <col width="8" customWidth="1" style="32" min="3" max="3"/>
    <col width="30" customWidth="1" style="32" min="4" max="4"/>
    <col width="12" customWidth="1" style="32" min="5" max="5"/>
    <col width="30" customWidth="1" style="32" min="6" max="6"/>
    <col width="24" customWidth="1" style="32" min="7" max="7"/>
    <col width="12" customWidth="1" style="32" min="8" max="8"/>
    <col width="16" customWidth="1" style="32" min="9" max="9"/>
    <col width="12" customWidth="1" style="32" min="10" max="11"/>
    <col width="10" customWidth="1" style="32" min="12" max="12"/>
    <col hidden="1" width="30" customWidth="1" style="32" min="13" max="13"/>
    <col width="16" customWidth="1" style="32" min="14" max="14"/>
    <col width="12" customWidth="1" style="32" min="15" max="15"/>
    <col width="18" customWidth="1" style="32" min="16" max="18"/>
    <col width="16" customWidth="1" style="32" min="19" max="21"/>
    <col width="15.90625" customWidth="1" style="28" min="22" max="22"/>
    <col width="18.90625" customWidth="1" style="28" min="23" max="24"/>
  </cols>
  <sheetData>
    <row r="1" ht="46" customHeight="1" s="32">
      <c r="A1" s="16" t="inlineStr">
        <is>
          <t>Prioridad</t>
        </is>
      </c>
      <c r="B1" s="16" t="inlineStr">
        <is>
          <t>Tier Base</t>
        </is>
      </c>
      <c r="C1" s="16" t="inlineStr">
        <is>
          <t>Bolsa</t>
        </is>
      </c>
      <c r="D1" s="16" t="inlineStr">
        <is>
          <t>Comentario</t>
        </is>
      </c>
      <c r="E1" s="16" t="inlineStr">
        <is>
          <t>Codigo Cliente</t>
        </is>
      </c>
      <c r="F1" s="16" t="inlineStr">
        <is>
          <t>Cliente / PDV (Nombre de Fantasia)</t>
        </is>
      </c>
      <c r="G1" s="16" t="inlineStr">
        <is>
          <t>Razon Social (Distribuidor)</t>
        </is>
      </c>
      <c r="H1" s="16" t="inlineStr">
        <is>
          <t>Marca</t>
        </is>
      </c>
      <c r="I1" s="16" t="inlineStr">
        <is>
          <t>Rubro</t>
        </is>
      </c>
      <c r="J1" s="16" t="inlineStr">
        <is>
          <t>Vigencia Desde</t>
        </is>
      </c>
      <c r="K1" s="16" t="inlineStr">
        <is>
          <t>Vigencia Hasta</t>
        </is>
      </c>
      <c r="L1" s="16" t="inlineStr">
        <is>
          <t>Duracion (meses)</t>
        </is>
      </c>
      <c r="M1" s="16" t="inlineStr">
        <is>
          <t>Comentario original</t>
        </is>
      </c>
      <c r="N1" s="16" t="inlineStr">
        <is>
          <t>Monto FEE Actual (pagado)</t>
        </is>
      </c>
      <c r="O1" s="16" t="inlineStr">
        <is>
          <t>% Inflacion acumulada aplicable</t>
        </is>
      </c>
      <c r="P1" s="16" t="inlineStr">
        <is>
          <t>Criterio 1 - PAUTA CMQ</t>
        </is>
      </c>
      <c r="Q1" s="16" t="inlineStr">
        <is>
          <t>Criterio 2 - FEE + Inflacion</t>
        </is>
      </c>
      <c r="R1" s="16" t="inlineStr">
        <is>
          <t>Criterio 3 - Punto medio</t>
        </is>
      </c>
      <c r="S1" s="30" t="inlineStr">
        <is>
          <t>Acumulado Criterio 1: PAUTA CMQ</t>
        </is>
      </c>
      <c r="T1" s="30" t="inlineStr">
        <is>
          <t>Acumulado Criterio 2: INFLACION</t>
        </is>
      </c>
      <c r="U1" s="30" t="inlineStr">
        <is>
          <t>Acumulado Criterio 3: PUNTO MEDIO</t>
        </is>
      </c>
      <c r="V1" s="16" t="inlineStr">
        <is>
          <t>ESCENARIO 1: ZBB 1.400M</t>
        </is>
      </c>
      <c r="W1" s="16" t="inlineStr">
        <is>
          <t>ESCENARIO 2: ZBB + TS 50% 1.600M</t>
        </is>
      </c>
      <c r="X1" s="16" t="inlineStr">
        <is>
          <t>ESCENARIO 3 ZBB+ TS: 2.000M</t>
        </is>
      </c>
    </row>
    <row r="2" ht="25" customHeight="1" s="32">
      <c r="A2" s="17" t="n">
        <v>1</v>
      </c>
      <c r="B2" s="18" t="inlineStr">
        <is>
          <t>IMPERDIBLE</t>
        </is>
      </c>
      <c r="C2" s="19" t="inlineStr">
        <is>
          <t>TS</t>
        </is>
      </c>
      <c r="D2" s="20" t="n"/>
      <c r="E2" s="4" t="n">
        <v>20121</v>
      </c>
      <c r="F2" s="4" t="inlineStr">
        <is>
          <t>El Calamar Loco Chapa</t>
        </is>
      </c>
      <c r="G2" s="4" t="inlineStr">
        <is>
          <t>LA NIDADA CHAPADMALAL S. A.</t>
        </is>
      </c>
      <c r="H2" s="4" t="inlineStr">
        <is>
          <t>Corona</t>
        </is>
      </c>
      <c r="I2" s="4" t="inlineStr">
        <is>
          <t>NOCTURNIDAD/EVENTOS</t>
        </is>
      </c>
      <c r="J2" s="21" t="n">
        <v>46023</v>
      </c>
      <c r="K2" s="21" t="n">
        <v>46388</v>
      </c>
      <c r="L2" s="22" t="n">
        <v>12</v>
      </c>
      <c r="M2" s="13" t="inlineStr">
        <is>
          <t>Vence post 2026; charlar mas adelante</t>
        </is>
      </c>
      <c r="N2" s="6" t="n">
        <v>200000000</v>
      </c>
      <c r="O2" s="11" t="n">
        <v>0.25</v>
      </c>
      <c r="P2" s="5" t="n">
        <v>191973393.426688</v>
      </c>
      <c r="Q2" s="6">
        <f>N2*(1+O2)</f>
        <v/>
      </c>
      <c r="R2" s="6">
        <f>AVERAGE(P2,Q2)</f>
        <v/>
      </c>
      <c r="S2" s="6">
        <f>IF(B2="CERRO",0,P2)</f>
        <v/>
      </c>
      <c r="T2" s="6">
        <f>IF(B2="CERRO",0,Q2)</f>
        <v/>
      </c>
      <c r="U2" s="6">
        <f>IF(B2="CERRO",0,R2)</f>
        <v/>
      </c>
      <c r="V2" s="29" t="inlineStr">
        <is>
          <t>SI</t>
        </is>
      </c>
      <c r="W2" s="29" t="inlineStr">
        <is>
          <t>SI</t>
        </is>
      </c>
      <c r="X2" s="29" t="inlineStr">
        <is>
          <t>SI</t>
        </is>
      </c>
    </row>
    <row r="3" ht="25" customHeight="1" s="32">
      <c r="A3" s="17" t="n">
        <v>2</v>
      </c>
      <c r="B3" s="18" t="inlineStr">
        <is>
          <t>IMPERDIBLE</t>
        </is>
      </c>
      <c r="C3" s="23" t="inlineStr">
        <is>
          <t>ZBB</t>
        </is>
      </c>
      <c r="D3" s="20" t="n"/>
      <c r="E3" s="4" t="n">
        <v>60743</v>
      </c>
      <c r="F3" s="4" t="inlineStr">
        <is>
          <t>Mr Jones</t>
        </is>
      </c>
      <c r="G3" s="4" t="inlineStr">
        <is>
          <t>Playa Bacana SA</t>
        </is>
      </c>
      <c r="H3" s="4" t="inlineStr">
        <is>
          <t>Budweiser</t>
        </is>
      </c>
      <c r="I3" s="4" t="inlineStr">
        <is>
          <t>NOCTURNIDAD/EVENTOS</t>
        </is>
      </c>
      <c r="J3" s="21" t="n">
        <v>45658</v>
      </c>
      <c r="K3" s="21" t="n">
        <v>46388</v>
      </c>
      <c r="L3" s="22" t="n">
        <v>24</v>
      </c>
      <c r="M3" s="13" t="inlineStr">
        <is>
          <t>Vence post 2026; charlar mas adelante</t>
        </is>
      </c>
      <c r="N3" s="6" t="n">
        <v>170000000</v>
      </c>
      <c r="O3" s="11" t="n">
        <v>0.68</v>
      </c>
      <c r="P3" s="5" t="n">
        <v>193195172.0202044</v>
      </c>
      <c r="Q3" s="6">
        <f>N3*(1+O3)</f>
        <v/>
      </c>
      <c r="R3" s="6">
        <f>AVERAGE(P3,Q3)</f>
        <v/>
      </c>
      <c r="S3" s="6">
        <f>IF(B3="CERRO",S2,S2+P3)</f>
        <v/>
      </c>
      <c r="T3" s="6">
        <f>IF(B3="CERRO",T2,T2+Q3)</f>
        <v/>
      </c>
      <c r="U3" s="6">
        <f>IF(B3="CERRO",U2,U2+R3)</f>
        <v/>
      </c>
      <c r="V3" s="29" t="inlineStr">
        <is>
          <t>SI</t>
        </is>
      </c>
      <c r="W3" s="29" t="inlineStr">
        <is>
          <t>SI</t>
        </is>
      </c>
      <c r="X3" s="29" t="inlineStr">
        <is>
          <t>SI</t>
        </is>
      </c>
    </row>
    <row r="4" ht="25" customHeight="1" s="32">
      <c r="A4" s="17" t="n">
        <v>3</v>
      </c>
      <c r="B4" s="18" t="inlineStr">
        <is>
          <t>IMPERDIBLE</t>
        </is>
      </c>
      <c r="C4" s="23" t="inlineStr">
        <is>
          <t>ZBB</t>
        </is>
      </c>
      <c r="D4" s="20" t="n"/>
      <c r="E4" s="4" t="n">
        <v>60635</v>
      </c>
      <c r="F4" s="4" t="inlineStr">
        <is>
          <t>Quba</t>
        </is>
      </c>
      <c r="G4" s="4" t="inlineStr">
        <is>
          <t>Purasal SRL</t>
        </is>
      </c>
      <c r="H4" s="4" t="inlineStr">
        <is>
          <t>Budweiser</t>
        </is>
      </c>
      <c r="I4" s="4" t="inlineStr">
        <is>
          <t>NOCTURNIDAD/EVENTOS</t>
        </is>
      </c>
      <c r="J4" s="21" t="n">
        <v>45658</v>
      </c>
      <c r="K4" s="21" t="n">
        <v>46388</v>
      </c>
      <c r="L4" s="22" t="n">
        <v>24</v>
      </c>
      <c r="M4" s="13" t="inlineStr">
        <is>
          <t>Vence post 2026; charlar mas adelante</t>
        </is>
      </c>
      <c r="N4" s="6" t="n">
        <v>160000000</v>
      </c>
      <c r="O4" s="11" t="n">
        <v>0.68</v>
      </c>
      <c r="P4" s="5" t="n">
        <v>181830750.1366629</v>
      </c>
      <c r="Q4" s="6">
        <f>N4*(1+O4)</f>
        <v/>
      </c>
      <c r="R4" s="6">
        <f>AVERAGE(P4,Q4)</f>
        <v/>
      </c>
      <c r="S4" s="6">
        <f>IF(B4="CERRO",S3,S3+P4)</f>
        <v/>
      </c>
      <c r="T4" s="6">
        <f>IF(B4="CERRO",T3,T3+Q4)</f>
        <v/>
      </c>
      <c r="U4" s="6">
        <f>IF(B4="CERRO",U3,U3+R4)</f>
        <v/>
      </c>
      <c r="V4" s="29" t="inlineStr">
        <is>
          <t>SI</t>
        </is>
      </c>
      <c r="W4" s="29" t="inlineStr">
        <is>
          <t>SI</t>
        </is>
      </c>
      <c r="X4" s="29" t="inlineStr">
        <is>
          <t>SI</t>
        </is>
      </c>
    </row>
    <row r="5" ht="25" customHeight="1" s="32">
      <c r="A5" s="17" t="n">
        <v>4</v>
      </c>
      <c r="B5" s="18" t="inlineStr">
        <is>
          <t>IMPERDIBLE</t>
        </is>
      </c>
      <c r="C5" s="23" t="inlineStr">
        <is>
          <t>ZBB</t>
        </is>
      </c>
      <c r="D5" s="20" t="n"/>
      <c r="E5" s="4" t="n">
        <v>1358</v>
      </c>
      <c r="F5" s="4" t="inlineStr">
        <is>
          <t>Tante-Masse-La cabrera</t>
        </is>
      </c>
      <c r="G5" s="4" t="inlineStr">
        <is>
          <t>Premium s.a</t>
        </is>
      </c>
      <c r="H5" s="4" t="inlineStr">
        <is>
          <t>Stella Artois</t>
        </is>
      </c>
      <c r="I5" s="4" t="inlineStr">
        <is>
          <t>GASTRONOMIA</t>
        </is>
      </c>
      <c r="J5" s="21" t="n">
        <v>45658</v>
      </c>
      <c r="K5" s="21" t="n">
        <v>46388</v>
      </c>
      <c r="L5" s="22" t="n">
        <v>24</v>
      </c>
      <c r="M5" s="13" t="inlineStr">
        <is>
          <t>Vence post 2026; charlar mas adelante</t>
        </is>
      </c>
      <c r="N5" s="6" t="n">
        <v>140000000</v>
      </c>
      <c r="O5" s="11" t="n">
        <v>0.68</v>
      </c>
      <c r="P5" s="5" t="n">
        <v>159101906.3695801</v>
      </c>
      <c r="Q5" s="6">
        <f>N5*(1+O5)</f>
        <v/>
      </c>
      <c r="R5" s="6">
        <f>AVERAGE(P5,Q5)</f>
        <v/>
      </c>
      <c r="S5" s="6">
        <f>IF(B5="CERRO",S4,S4+P5)</f>
        <v/>
      </c>
      <c r="T5" s="6">
        <f>IF(B5="CERRO",T4,T4+Q5)</f>
        <v/>
      </c>
      <c r="U5" s="6">
        <f>IF(B5="CERRO",U4,U4+R5)</f>
        <v/>
      </c>
      <c r="V5" s="29" t="inlineStr">
        <is>
          <t>SI</t>
        </is>
      </c>
      <c r="W5" s="29" t="inlineStr">
        <is>
          <t>SI</t>
        </is>
      </c>
      <c r="X5" s="29" t="inlineStr">
        <is>
          <t>SI</t>
        </is>
      </c>
    </row>
    <row r="6" ht="25" customHeight="1" s="32">
      <c r="A6" s="17" t="n">
        <v>5</v>
      </c>
      <c r="B6" s="18" t="inlineStr">
        <is>
          <t>IMPERDIBLE</t>
        </is>
      </c>
      <c r="C6" s="23" t="inlineStr">
        <is>
          <t>ZBB</t>
        </is>
      </c>
      <c r="D6" s="20" t="n"/>
      <c r="E6" s="4" t="n">
        <v>60834</v>
      </c>
      <c r="F6" s="4" t="inlineStr">
        <is>
          <t>Bruto</t>
        </is>
      </c>
      <c r="G6" s="4" t="inlineStr">
        <is>
          <t>Distribución Monkey SA</t>
        </is>
      </c>
      <c r="H6" s="4" t="inlineStr">
        <is>
          <t>Budweiser</t>
        </is>
      </c>
      <c r="I6" s="4" t="inlineStr">
        <is>
          <t>NOCTURNIDAD/EVENTOS</t>
        </is>
      </c>
      <c r="J6" s="21" t="n">
        <v>45292</v>
      </c>
      <c r="K6" s="21" t="n">
        <v>46388</v>
      </c>
      <c r="L6" s="22" t="n">
        <v>36</v>
      </c>
      <c r="M6" s="13" t="inlineStr">
        <is>
          <t>Vence post 2026; charlar mas adelante</t>
        </is>
      </c>
      <c r="N6" s="6" t="n">
        <v>95000000</v>
      </c>
      <c r="O6" s="11" t="n">
        <v>2.13</v>
      </c>
      <c r="P6" s="5" t="n">
        <v>313371403.9137917</v>
      </c>
      <c r="Q6" s="6">
        <f>N6*(1+O6)</f>
        <v/>
      </c>
      <c r="R6" s="6">
        <f>AVERAGE(P6,Q6)</f>
        <v/>
      </c>
      <c r="S6" s="6">
        <f>IF(B6="CERRO",S5,S5+P6)</f>
        <v/>
      </c>
      <c r="T6" s="6">
        <f>IF(B6="CERRO",T5,T5+Q6)</f>
        <v/>
      </c>
      <c r="U6" s="6">
        <f>IF(B6="CERRO",U5,U5+R6)</f>
        <v/>
      </c>
      <c r="V6" s="29" t="inlineStr">
        <is>
          <t>SI</t>
        </is>
      </c>
      <c r="W6" s="29" t="inlineStr">
        <is>
          <t>SI</t>
        </is>
      </c>
      <c r="X6" s="29" t="inlineStr">
        <is>
          <t>SI</t>
        </is>
      </c>
    </row>
    <row r="7" ht="25" customHeight="1" s="32">
      <c r="A7" s="17" t="n">
        <v>6</v>
      </c>
      <c r="B7" s="18" t="inlineStr">
        <is>
          <t>IMPERDIBLE</t>
        </is>
      </c>
      <c r="C7" s="23" t="inlineStr">
        <is>
          <t>ZBB</t>
        </is>
      </c>
      <c r="D7" s="20" t="n"/>
      <c r="E7" s="4" t="n">
        <v>62866</v>
      </c>
      <c r="F7" s="4" t="inlineStr">
        <is>
          <t>Samsara</t>
        </is>
      </c>
      <c r="G7" s="4" t="inlineStr">
        <is>
          <t>Sunny Beach SA</t>
        </is>
      </c>
      <c r="H7" s="4" t="inlineStr">
        <is>
          <t>Brahma</t>
        </is>
      </c>
      <c r="I7" s="4" t="inlineStr">
        <is>
          <t>NOCTURNIDAD/EVENTOS</t>
        </is>
      </c>
      <c r="J7" s="21" t="n">
        <v>45658</v>
      </c>
      <c r="K7" s="21" t="n">
        <v>46388</v>
      </c>
      <c r="L7" s="22" t="n">
        <v>24</v>
      </c>
      <c r="M7" s="13" t="inlineStr">
        <is>
          <t>Vence post 2026; charlar mas adelante</t>
        </is>
      </c>
      <c r="N7" s="6" t="n">
        <v>75000000</v>
      </c>
      <c r="O7" s="11" t="n">
        <v>0.68</v>
      </c>
      <c r="P7" s="5" t="n">
        <v>85233164.12656076</v>
      </c>
      <c r="Q7" s="6">
        <f>N7*(1+O7)</f>
        <v/>
      </c>
      <c r="R7" s="6">
        <f>AVERAGE(P7,Q7)</f>
        <v/>
      </c>
      <c r="S7" s="6">
        <f>IF(B7="CERRO",S6,S6+P7)</f>
        <v/>
      </c>
      <c r="T7" s="6">
        <f>IF(B7="CERRO",T6,T6+Q7)</f>
        <v/>
      </c>
      <c r="U7" s="6">
        <f>IF(B7="CERRO",U6,U6+R7)</f>
        <v/>
      </c>
      <c r="V7" s="29" t="inlineStr">
        <is>
          <t>SI</t>
        </is>
      </c>
      <c r="W7" s="29" t="inlineStr">
        <is>
          <t>SI</t>
        </is>
      </c>
      <c r="X7" s="29" t="inlineStr">
        <is>
          <t>SI</t>
        </is>
      </c>
    </row>
    <row r="8" ht="25" customHeight="1" s="32">
      <c r="A8" s="17" t="n">
        <v>7</v>
      </c>
      <c r="B8" s="18" t="inlineStr">
        <is>
          <t>IMPERDIBLE</t>
        </is>
      </c>
      <c r="C8" s="23" t="inlineStr">
        <is>
          <t>ZBB</t>
        </is>
      </c>
      <c r="D8" s="20" t="n"/>
      <c r="E8" s="4" t="n">
        <v>0</v>
      </c>
      <c r="F8" s="4" t="inlineStr">
        <is>
          <t>La Gamba</t>
        </is>
      </c>
      <c r="G8" s="4" t="inlineStr">
        <is>
          <t>Eras comercializaciones S.R.L</t>
        </is>
      </c>
      <c r="H8" s="4" t="inlineStr">
        <is>
          <t>Stella Artois</t>
        </is>
      </c>
      <c r="I8" s="4" t="inlineStr">
        <is>
          <t>BALNEARIOS</t>
        </is>
      </c>
      <c r="J8" s="21" t="n">
        <v>45658</v>
      </c>
      <c r="K8" s="21" t="n">
        <v>46388</v>
      </c>
      <c r="L8" s="22" t="n">
        <v>24</v>
      </c>
      <c r="M8" s="13" t="inlineStr">
        <is>
          <t>Vence post 2026; charlar mas adelante</t>
        </is>
      </c>
      <c r="N8" s="6" t="n">
        <v>60000000</v>
      </c>
      <c r="O8" s="11" t="n">
        <v>0.68</v>
      </c>
      <c r="P8" s="5" t="n">
        <v>68186531.30124861</v>
      </c>
      <c r="Q8" s="6">
        <f>N8*(1+O8)</f>
        <v/>
      </c>
      <c r="R8" s="6">
        <f>AVERAGE(P8,Q8)</f>
        <v/>
      </c>
      <c r="S8" s="6">
        <f>IF(B8="CERRO",S7,S7+P8)</f>
        <v/>
      </c>
      <c r="T8" s="6">
        <f>IF(B8="CERRO",T7,T7+Q8)</f>
        <v/>
      </c>
      <c r="U8" s="6">
        <f>IF(B8="CERRO",U7,U7+R8)</f>
        <v/>
      </c>
      <c r="V8" s="29" t="inlineStr">
        <is>
          <t>SI</t>
        </is>
      </c>
      <c r="W8" s="29" t="inlineStr">
        <is>
          <t>SI</t>
        </is>
      </c>
      <c r="X8" s="29" t="inlineStr">
        <is>
          <t>SI</t>
        </is>
      </c>
    </row>
    <row r="9" ht="25" customHeight="1" s="32">
      <c r="A9" s="17" t="n">
        <v>8</v>
      </c>
      <c r="B9" s="18" t="inlineStr">
        <is>
          <t>IMPERDIBLE</t>
        </is>
      </c>
      <c r="C9" s="19" t="inlineStr">
        <is>
          <t>TS</t>
        </is>
      </c>
      <c r="D9" s="20" t="n"/>
      <c r="E9" s="4" t="n">
        <v>25769</v>
      </c>
      <c r="F9" s="4" t="inlineStr">
        <is>
          <t>Luna Roja</t>
        </is>
      </c>
      <c r="G9" s="4" t="inlineStr">
        <is>
          <t>E.J.C. S.A.</t>
        </is>
      </c>
      <c r="H9" s="4" t="inlineStr">
        <is>
          <t>Corona</t>
        </is>
      </c>
      <c r="I9" s="4" t="inlineStr">
        <is>
          <t>BALNEARIOS</t>
        </is>
      </c>
      <c r="J9" s="21" t="n">
        <v>46023</v>
      </c>
      <c r="K9" s="21" t="n">
        <v>46388</v>
      </c>
      <c r="L9" s="22" t="n">
        <v>12</v>
      </c>
      <c r="M9" s="13" t="inlineStr">
        <is>
          <t>Vence post 2026; charlar mas adelante</t>
        </is>
      </c>
      <c r="N9" s="6" t="n">
        <v>60000000</v>
      </c>
      <c r="O9" s="11" t="n">
        <v>0.25</v>
      </c>
      <c r="P9" s="5" t="n">
        <v>57592018.0280064</v>
      </c>
      <c r="Q9" s="6">
        <f>N9*(1+O9)</f>
        <v/>
      </c>
      <c r="R9" s="6">
        <f>AVERAGE(P9,Q9)</f>
        <v/>
      </c>
      <c r="S9" s="6">
        <f>IF(B9="CERRO",S8,S8+P9)</f>
        <v/>
      </c>
      <c r="T9" s="6">
        <f>IF(B9="CERRO",T8,T8+Q9)</f>
        <v/>
      </c>
      <c r="U9" s="6">
        <f>IF(B9="CERRO",U8,U8+R9)</f>
        <v/>
      </c>
      <c r="V9" s="29" t="inlineStr">
        <is>
          <t>SI</t>
        </is>
      </c>
      <c r="W9" s="29" t="inlineStr">
        <is>
          <t>SI</t>
        </is>
      </c>
      <c r="X9" s="29" t="inlineStr">
        <is>
          <t>SI</t>
        </is>
      </c>
    </row>
    <row r="10" ht="25" customHeight="1" s="32">
      <c r="A10" s="17" t="n">
        <v>9</v>
      </c>
      <c r="B10" s="18" t="inlineStr">
        <is>
          <t>IMPERDIBLE</t>
        </is>
      </c>
      <c r="C10" s="19" t="inlineStr">
        <is>
          <t>TS</t>
        </is>
      </c>
      <c r="D10" s="24" t="inlineStr">
        <is>
          <t>no habia pauta cmq</t>
        </is>
      </c>
      <c r="E10" s="4" t="n">
        <v>63412</v>
      </c>
      <c r="F10" s="4" t="inlineStr">
        <is>
          <t>El Calamar Loco PG</t>
        </is>
      </c>
      <c r="G10" s="4" t="inlineStr">
        <is>
          <t>BRUNNI BEACH 33 S.A.</t>
        </is>
      </c>
      <c r="H10" s="4" t="inlineStr">
        <is>
          <t>Corona</t>
        </is>
      </c>
      <c r="I10" s="4" t="inlineStr">
        <is>
          <t>NOCTURNIDAD/EVENTOS</t>
        </is>
      </c>
      <c r="J10" s="21" t="n">
        <v>46023</v>
      </c>
      <c r="K10" s="21" t="n">
        <v>46388</v>
      </c>
      <c r="L10" s="22" t="n">
        <v>12</v>
      </c>
      <c r="M10" s="13" t="inlineStr">
        <is>
          <t>Vence post 2026; charlar mas adelante</t>
        </is>
      </c>
      <c r="N10" s="6" t="n">
        <v>41000000</v>
      </c>
      <c r="O10" s="11" t="n">
        <v>0.25</v>
      </c>
      <c r="P10" s="5" t="n">
        <v>41000000</v>
      </c>
      <c r="Q10" s="6">
        <f>N10*(1+O10)</f>
        <v/>
      </c>
      <c r="R10" s="6">
        <f>AVERAGE(P10,Q10)</f>
        <v/>
      </c>
      <c r="S10" s="6">
        <f>IF(B10="CERRO",S9,S9+P10)</f>
        <v/>
      </c>
      <c r="T10" s="6">
        <f>IF(B10="CERRO",T9,T9+Q10)</f>
        <v/>
      </c>
      <c r="U10" s="6">
        <f>IF(B10="CERRO",U9,U9+R10)</f>
        <v/>
      </c>
      <c r="V10" s="29" t="inlineStr">
        <is>
          <t>NO</t>
        </is>
      </c>
      <c r="W10" s="29" t="inlineStr">
        <is>
          <t>SI</t>
        </is>
      </c>
      <c r="X10" s="29" t="inlineStr">
        <is>
          <t>SI</t>
        </is>
      </c>
    </row>
    <row r="11" ht="25" customHeight="1" s="32">
      <c r="A11" s="17" t="n">
        <v>10</v>
      </c>
      <c r="B11" s="18" t="inlineStr">
        <is>
          <t>IMPERDIBLE</t>
        </is>
      </c>
      <c r="C11" s="19" t="inlineStr">
        <is>
          <t>TS</t>
        </is>
      </c>
      <c r="D11" s="20" t="n"/>
      <c r="E11" s="4" t="n">
        <v>64509</v>
      </c>
      <c r="F11" s="4" t="inlineStr">
        <is>
          <t>Bendu</t>
        </is>
      </c>
      <c r="G11" s="4" t="inlineStr">
        <is>
          <t>Monograma SRL</t>
        </is>
      </c>
      <c r="H11" s="4" t="inlineStr">
        <is>
          <t>Quilmes</t>
        </is>
      </c>
      <c r="I11" s="4" t="inlineStr">
        <is>
          <t>NOCTURNIDAD/EVENTOS</t>
        </is>
      </c>
      <c r="J11" s="21" t="n">
        <v>46023</v>
      </c>
      <c r="K11" s="21" t="n">
        <v>46388</v>
      </c>
      <c r="L11" s="22" t="n">
        <v>12</v>
      </c>
      <c r="M11" s="13" t="inlineStr">
        <is>
          <t>Vence post 2026; charlar mas adelante</t>
        </is>
      </c>
      <c r="N11" s="6" t="n">
        <v>40000000</v>
      </c>
      <c r="O11" s="11" t="n">
        <v>0.25</v>
      </c>
      <c r="P11" s="5" t="n">
        <v>38394678.6853376</v>
      </c>
      <c r="Q11" s="6">
        <f>N11*(1+O11)</f>
        <v/>
      </c>
      <c r="R11" s="6">
        <f>AVERAGE(P11,Q11)</f>
        <v/>
      </c>
      <c r="S11" s="6">
        <f>IF(B11="CERRO",S10,S10+P11)</f>
        <v/>
      </c>
      <c r="T11" s="6">
        <f>IF(B11="CERRO",T10,T10+Q11)</f>
        <v/>
      </c>
      <c r="U11" s="6">
        <f>IF(B11="CERRO",U10,U10+R11)</f>
        <v/>
      </c>
      <c r="V11" s="29" t="inlineStr">
        <is>
          <t>NO</t>
        </is>
      </c>
      <c r="W11" s="29" t="inlineStr">
        <is>
          <t>SI</t>
        </is>
      </c>
      <c r="X11" s="29" t="inlineStr">
        <is>
          <t>SI</t>
        </is>
      </c>
    </row>
    <row r="12" ht="25" customHeight="1" s="32">
      <c r="A12" s="17" t="n">
        <v>11</v>
      </c>
      <c r="B12" s="18" t="inlineStr">
        <is>
          <t>IMPERDIBLE</t>
        </is>
      </c>
      <c r="C12" s="19" t="inlineStr">
        <is>
          <t>TS</t>
        </is>
      </c>
      <c r="D12" s="20" t="n"/>
      <c r="E12" s="4" t="n">
        <v>2247</v>
      </c>
      <c r="F12" s="4" t="inlineStr">
        <is>
          <t xml:space="preserve">Pueblo Límite </t>
        </is>
      </c>
      <c r="G12" s="4" t="inlineStr">
        <is>
          <t>Pueblo Límite SAS</t>
        </is>
      </c>
      <c r="H12" s="4" t="inlineStr">
        <is>
          <t>Brahma</t>
        </is>
      </c>
      <c r="I12" s="4" t="inlineStr">
        <is>
          <t>NOCTURNIDAD/EVENTOS</t>
        </is>
      </c>
      <c r="J12" s="21" t="n">
        <v>46023</v>
      </c>
      <c r="K12" s="21" t="n">
        <v>46388</v>
      </c>
      <c r="L12" s="22" t="n">
        <v>12</v>
      </c>
      <c r="M12" s="13" t="inlineStr">
        <is>
          <t>Vence post 2026; charlar mas adelante</t>
        </is>
      </c>
      <c r="N12" s="6" t="n">
        <v>30000000</v>
      </c>
      <c r="O12" s="11" t="n">
        <v>0.25</v>
      </c>
      <c r="P12" s="5" t="n">
        <v>28796009.0140032</v>
      </c>
      <c r="Q12" s="6">
        <f>N12*(1+O12)</f>
        <v/>
      </c>
      <c r="R12" s="6">
        <f>AVERAGE(P12,Q12)</f>
        <v/>
      </c>
      <c r="S12" s="6">
        <f>IF(B12="CERRO",S11,S11+P12)</f>
        <v/>
      </c>
      <c r="T12" s="6">
        <f>IF(B12="CERRO",T11,T11+Q12)</f>
        <v/>
      </c>
      <c r="U12" s="6">
        <f>IF(B12="CERRO",U11,U11+R12)</f>
        <v/>
      </c>
      <c r="V12" s="29" t="inlineStr">
        <is>
          <t>NO</t>
        </is>
      </c>
      <c r="W12" s="29" t="inlineStr">
        <is>
          <t>SI</t>
        </is>
      </c>
      <c r="X12" s="29" t="inlineStr">
        <is>
          <t>SI</t>
        </is>
      </c>
    </row>
    <row r="13" ht="25" customHeight="1" s="32">
      <c r="A13" s="17" t="n">
        <v>12</v>
      </c>
      <c r="B13" s="18" t="inlineStr">
        <is>
          <t>IMPERDIBLE</t>
        </is>
      </c>
      <c r="C13" s="23" t="inlineStr">
        <is>
          <t>ZBB</t>
        </is>
      </c>
      <c r="D13" s="24" t="inlineStr">
        <is>
          <t>fee reservado para casa calamar</t>
        </is>
      </c>
      <c r="E13" s="4" t="inlineStr">
        <is>
          <t>CERRO CAMBIA DE FORMATO PARA SER CALAMAR LOCO HOSTELS</t>
        </is>
      </c>
      <c r="F13" s="4" t="inlineStr">
        <is>
          <t>Casa Pampa</t>
        </is>
      </c>
      <c r="G13" s="4" t="inlineStr">
        <is>
          <t>SANTIAGO DE COMPOSTELA 1943 S.A.</t>
        </is>
      </c>
      <c r="H13" s="4" t="inlineStr">
        <is>
          <t>Stella Artois</t>
        </is>
      </c>
      <c r="I13" s="4" t="inlineStr">
        <is>
          <t>GASTRONOMIA</t>
        </is>
      </c>
      <c r="J13" s="21" t="n">
        <v>45658</v>
      </c>
      <c r="K13" s="21" t="n">
        <v>46388</v>
      </c>
      <c r="L13" s="22" t="n">
        <v>24</v>
      </c>
      <c r="M13" s="13" t="inlineStr">
        <is>
          <t>Vence post 2026; charlar mas adelante</t>
        </is>
      </c>
      <c r="N13" s="6" t="n">
        <v>25000000</v>
      </c>
      <c r="O13" s="11" t="n">
        <v>0.68</v>
      </c>
      <c r="P13" s="5" t="n">
        <v>28411054.70885359</v>
      </c>
      <c r="Q13" s="6">
        <f>N13*(1+O13)</f>
        <v/>
      </c>
      <c r="R13" s="6">
        <f>AVERAGE(P13,Q13)</f>
        <v/>
      </c>
      <c r="S13" s="6">
        <f>IF(B13="CERRO",S12,S12+P13)</f>
        <v/>
      </c>
      <c r="T13" s="6">
        <f>IF(B13="CERRO",T12,T12+Q13)</f>
        <v/>
      </c>
      <c r="U13" s="6">
        <f>IF(B13="CERRO",U12,U12+R13)</f>
        <v/>
      </c>
      <c r="V13" s="29" t="inlineStr">
        <is>
          <t>NO</t>
        </is>
      </c>
      <c r="W13" s="29" t="inlineStr">
        <is>
          <t>SI</t>
        </is>
      </c>
      <c r="X13" s="29" t="inlineStr">
        <is>
          <t>SI</t>
        </is>
      </c>
    </row>
    <row r="14" ht="25" customHeight="1" s="32">
      <c r="A14" s="17" t="n">
        <v>13</v>
      </c>
      <c r="B14" s="18" t="inlineStr">
        <is>
          <t>IMPERDIBLE</t>
        </is>
      </c>
      <c r="C14" s="23" t="inlineStr">
        <is>
          <t>ZBB</t>
        </is>
      </c>
      <c r="D14" s="20" t="n"/>
      <c r="E14" s="4" t="n">
        <v>60973</v>
      </c>
      <c r="F14" s="4" t="inlineStr">
        <is>
          <t>ESTACION CENTRAL</t>
        </is>
      </c>
      <c r="G14" s="4" t="inlineStr">
        <is>
          <t>VAMOELPACK MDP S.A.</t>
        </is>
      </c>
      <c r="H14" s="4" t="inlineStr">
        <is>
          <t>Corona</t>
        </is>
      </c>
      <c r="I14" s="4" t="inlineStr">
        <is>
          <t>NOCTURNIDAD/EVENTOS</t>
        </is>
      </c>
      <c r="J14" s="21" t="n">
        <v>45292</v>
      </c>
      <c r="K14" s="21" t="n">
        <v>46388</v>
      </c>
      <c r="L14" s="22" t="n">
        <v>36</v>
      </c>
      <c r="M14" s="13" t="inlineStr">
        <is>
          <t>Vence post 2026; charlar mas adelante</t>
        </is>
      </c>
      <c r="N14" s="6" t="n">
        <v>25000000</v>
      </c>
      <c r="O14" s="11" t="n">
        <v>2.13</v>
      </c>
      <c r="P14" s="5" t="n">
        <v>56076988.06878379</v>
      </c>
      <c r="Q14" s="6">
        <f>N14*(1+O14)</f>
        <v/>
      </c>
      <c r="R14" s="6">
        <f>AVERAGE(P14,Q14)</f>
        <v/>
      </c>
      <c r="S14" s="6">
        <f>IF(B14="CERRO",S13,S13+P14)</f>
        <v/>
      </c>
      <c r="T14" s="6">
        <f>IF(B14="CERRO",T13,T13+Q14)</f>
        <v/>
      </c>
      <c r="U14" s="6">
        <f>IF(B14="CERRO",U13,U13+R14)</f>
        <v/>
      </c>
      <c r="V14" s="29" t="inlineStr">
        <is>
          <t>NO</t>
        </is>
      </c>
      <c r="W14" s="29" t="inlineStr">
        <is>
          <t>NO</t>
        </is>
      </c>
      <c r="X14" s="29" t="inlineStr">
        <is>
          <t>SI</t>
        </is>
      </c>
    </row>
    <row r="15" ht="25" customHeight="1" s="32">
      <c r="A15" s="17" t="n">
        <v>14</v>
      </c>
      <c r="B15" s="18" t="inlineStr">
        <is>
          <t>IMPERDIBLE</t>
        </is>
      </c>
      <c r="C15" s="19" t="inlineStr">
        <is>
          <t>TS</t>
        </is>
      </c>
      <c r="D15" s="20" t="n"/>
      <c r="E15" s="4" t="n">
        <v>6728</v>
      </c>
      <c r="F15" s="4" t="inlineStr">
        <is>
          <t>Casa Mar</t>
        </is>
      </c>
      <c r="G15" s="4" t="inlineStr">
        <is>
          <t>JR COMUNICACIONES SRL</t>
        </is>
      </c>
      <c r="H15" s="4" t="inlineStr">
        <is>
          <t>Stella Artois</t>
        </is>
      </c>
      <c r="I15" s="4" t="inlineStr">
        <is>
          <t>BALNEARIOS</t>
        </is>
      </c>
      <c r="J15" s="21" t="n">
        <v>46023</v>
      </c>
      <c r="K15" s="21" t="n">
        <v>46388</v>
      </c>
      <c r="L15" s="22" t="n">
        <v>12</v>
      </c>
      <c r="M15" s="13" t="inlineStr">
        <is>
          <t>Vence post 2026; charlar mas adelante</t>
        </is>
      </c>
      <c r="N15" s="6" t="n">
        <v>17500000</v>
      </c>
      <c r="O15" s="11" t="n">
        <v>0.25</v>
      </c>
      <c r="P15" s="5" t="n">
        <v>16797671.9248352</v>
      </c>
      <c r="Q15" s="6">
        <f>N15*(1+O15)</f>
        <v/>
      </c>
      <c r="R15" s="6">
        <f>AVERAGE(P15,Q15)</f>
        <v/>
      </c>
      <c r="S15" s="6">
        <f>IF(B15="CERRO",S14,S14+P15)</f>
        <v/>
      </c>
      <c r="T15" s="6">
        <f>IF(B15="CERRO",T14,T14+Q15)</f>
        <v/>
      </c>
      <c r="U15" s="6">
        <f>IF(B15="CERRO",U14,U14+R15)</f>
        <v/>
      </c>
      <c r="V15" s="29" t="inlineStr">
        <is>
          <t>NO</t>
        </is>
      </c>
      <c r="W15" s="29" t="inlineStr">
        <is>
          <t>NO</t>
        </is>
      </c>
      <c r="X15" s="29" t="inlineStr">
        <is>
          <t>SI</t>
        </is>
      </c>
    </row>
    <row r="16" ht="25" customHeight="1" s="32">
      <c r="A16" s="17" t="n">
        <v>15</v>
      </c>
      <c r="B16" s="18" t="inlineStr">
        <is>
          <t>IMPERDIBLE</t>
        </is>
      </c>
      <c r="C16" s="23" t="inlineStr">
        <is>
          <t>ZBB</t>
        </is>
      </c>
      <c r="D16" s="20" t="n"/>
      <c r="E16" s="4" t="n">
        <v>60917</v>
      </c>
      <c r="F16" s="4" t="inlineStr">
        <is>
          <t>LOS TOLDOS VIEJOS</t>
        </is>
      </c>
      <c r="G16" s="4" t="inlineStr">
        <is>
          <t>COUNTRY GRILLS S. R. L.</t>
        </is>
      </c>
      <c r="H16" s="4" t="inlineStr">
        <is>
          <t>Stella Artois</t>
        </is>
      </c>
      <c r="I16" s="4" t="inlineStr">
        <is>
          <t>GASTRONOMIA</t>
        </is>
      </c>
      <c r="J16" s="21" t="n">
        <v>45658</v>
      </c>
      <c r="K16" s="21" t="n">
        <v>46388</v>
      </c>
      <c r="L16" s="22" t="n">
        <v>24</v>
      </c>
      <c r="M16" s="13" t="inlineStr">
        <is>
          <t>Vence post 2026; charlar mas adelante</t>
        </is>
      </c>
      <c r="N16" s="6" t="n">
        <v>16000000</v>
      </c>
      <c r="O16" s="11" t="n">
        <v>0.68</v>
      </c>
      <c r="P16" s="5" t="n">
        <v>18183075.01366629</v>
      </c>
      <c r="Q16" s="6">
        <f>N16*(1+O16)</f>
        <v/>
      </c>
      <c r="R16" s="6">
        <f>AVERAGE(P16,Q16)</f>
        <v/>
      </c>
      <c r="S16" s="6">
        <f>IF(B16="CERRO",S15,S15+P16)</f>
        <v/>
      </c>
      <c r="T16" s="6">
        <f>IF(B16="CERRO",T15,T15+Q16)</f>
        <v/>
      </c>
      <c r="U16" s="6">
        <f>IF(B16="CERRO",U15,U15+R16)</f>
        <v/>
      </c>
      <c r="V16" s="29" t="inlineStr">
        <is>
          <t>NO</t>
        </is>
      </c>
      <c r="W16" s="29" t="inlineStr">
        <is>
          <t>NO</t>
        </is>
      </c>
      <c r="X16" s="29" t="inlineStr">
        <is>
          <t>SI</t>
        </is>
      </c>
    </row>
    <row r="17" ht="25" customHeight="1" s="32">
      <c r="A17" s="17" t="n">
        <v>16</v>
      </c>
      <c r="B17" s="18" t="inlineStr">
        <is>
          <t>IMPERDIBLE</t>
        </is>
      </c>
      <c r="C17" s="23" t="inlineStr">
        <is>
          <t>ZBB</t>
        </is>
      </c>
      <c r="D17" s="20" t="n"/>
      <c r="E17" s="4" t="n">
        <v>62431</v>
      </c>
      <c r="F17" s="4" t="inlineStr">
        <is>
          <t>Villa Aluminé</t>
        </is>
      </c>
      <c r="G17" s="4" t="inlineStr">
        <is>
          <t>Villa Aluminé SA</t>
        </is>
      </c>
      <c r="H17" s="4" t="inlineStr">
        <is>
          <t>Stella Artois</t>
        </is>
      </c>
      <c r="I17" s="4" t="inlineStr">
        <is>
          <t>NOCTURNIDAD/EVENTOS</t>
        </is>
      </c>
      <c r="J17" s="21" t="n">
        <v>45658</v>
      </c>
      <c r="K17" s="21" t="n">
        <v>46388</v>
      </c>
      <c r="L17" s="22" t="n">
        <v>24</v>
      </c>
      <c r="M17" s="13" t="inlineStr">
        <is>
          <t>Vence post 2026; charlar mas adelante</t>
        </is>
      </c>
      <c r="N17" s="6" t="n">
        <v>16000000</v>
      </c>
      <c r="O17" s="11" t="n">
        <v>0.68</v>
      </c>
      <c r="P17" s="5" t="n">
        <v>18183075.01366629</v>
      </c>
      <c r="Q17" s="6">
        <f>N17*(1+O17)</f>
        <v/>
      </c>
      <c r="R17" s="6">
        <f>AVERAGE(P17,Q17)</f>
        <v/>
      </c>
      <c r="S17" s="6">
        <f>IF(B17="CERRO",S16,S16+P17)</f>
        <v/>
      </c>
      <c r="T17" s="6">
        <f>IF(B17="CERRO",T16,T16+Q17)</f>
        <v/>
      </c>
      <c r="U17" s="6">
        <f>IF(B17="CERRO",U16,U16+R17)</f>
        <v/>
      </c>
      <c r="V17" s="29" t="inlineStr">
        <is>
          <t>NO</t>
        </is>
      </c>
      <c r="W17" s="29" t="inlineStr">
        <is>
          <t>NO</t>
        </is>
      </c>
      <c r="X17" s="29" t="inlineStr">
        <is>
          <t>SI</t>
        </is>
      </c>
    </row>
    <row r="18" ht="25" customHeight="1" s="32">
      <c r="A18" s="17" t="n">
        <v>17</v>
      </c>
      <c r="B18" s="18" t="inlineStr">
        <is>
          <t>IMPERDIBLE</t>
        </is>
      </c>
      <c r="C18" s="19" t="inlineStr">
        <is>
          <t>TS</t>
        </is>
      </c>
      <c r="D18" s="20" t="n"/>
      <c r="E18" s="4" t="n">
        <v>9558</v>
      </c>
      <c r="F18" s="4" t="inlineStr">
        <is>
          <t>EDV</t>
        </is>
      </c>
      <c r="G18" s="4" t="inlineStr">
        <is>
          <t>Racing Experience S.A</t>
        </is>
      </c>
      <c r="H18" s="4" t="inlineStr">
        <is>
          <t>Corona</t>
        </is>
      </c>
      <c r="I18" s="4" t="inlineStr">
        <is>
          <t>BALNEARIOS</t>
        </is>
      </c>
      <c r="J18" s="21" t="n">
        <v>46023</v>
      </c>
      <c r="K18" s="21" t="n">
        <v>46388</v>
      </c>
      <c r="L18" s="22" t="n">
        <v>12</v>
      </c>
      <c r="M18" s="13" t="inlineStr">
        <is>
          <t>Vence post 2026; charlar mas adelante</t>
        </is>
      </c>
      <c r="N18" s="6" t="n">
        <v>11000000</v>
      </c>
      <c r="O18" s="11" t="n">
        <v>0.25</v>
      </c>
      <c r="P18" s="5" t="n">
        <v>10558536.63846784</v>
      </c>
      <c r="Q18" s="6">
        <f>N18*(1+O18)</f>
        <v/>
      </c>
      <c r="R18" s="6">
        <f>AVERAGE(P18,Q18)</f>
        <v/>
      </c>
      <c r="S18" s="6">
        <f>IF(B18="CERRO",S17,S17+P18)</f>
        <v/>
      </c>
      <c r="T18" s="6">
        <f>IF(B18="CERRO",T17,T17+Q18)</f>
        <v/>
      </c>
      <c r="U18" s="6">
        <f>IF(B18="CERRO",U17,U17+R18)</f>
        <v/>
      </c>
      <c r="V18" s="29" t="inlineStr">
        <is>
          <t>NO</t>
        </is>
      </c>
      <c r="W18" s="29" t="inlineStr">
        <is>
          <t>NO</t>
        </is>
      </c>
      <c r="X18" s="29" t="inlineStr">
        <is>
          <t>SI</t>
        </is>
      </c>
    </row>
    <row r="19" ht="25" customHeight="1" s="32">
      <c r="A19" s="17" t="n">
        <v>18</v>
      </c>
      <c r="B19" s="18" t="inlineStr">
        <is>
          <t>IMPERDIBLE</t>
        </is>
      </c>
      <c r="C19" s="19" t="inlineStr">
        <is>
          <t>TS</t>
        </is>
      </c>
      <c r="D19" s="20" t="n"/>
      <c r="E19" s="4" t="n">
        <v>61950</v>
      </c>
      <c r="F19" s="4" t="inlineStr">
        <is>
          <t>Bosques del Faro</t>
        </is>
      </c>
      <c r="G19" s="4" t="inlineStr">
        <is>
          <t>Bosques del Faro SRL</t>
        </is>
      </c>
      <c r="H19" s="4" t="inlineStr">
        <is>
          <t>Corona</t>
        </is>
      </c>
      <c r="I19" s="4" t="inlineStr">
        <is>
          <t>BALNEARIOS</t>
        </is>
      </c>
      <c r="J19" s="21" t="n">
        <v>46023</v>
      </c>
      <c r="K19" s="21" t="n">
        <v>46388</v>
      </c>
      <c r="L19" s="22" t="n">
        <v>12</v>
      </c>
      <c r="M19" s="13" t="inlineStr">
        <is>
          <t>Vence post 2026; charlar mas adelante</t>
        </is>
      </c>
      <c r="N19" s="6" t="n">
        <v>10000000</v>
      </c>
      <c r="O19" s="11" t="n">
        <v>0.25</v>
      </c>
      <c r="P19" s="5" t="n">
        <v>9598669.671334401</v>
      </c>
      <c r="Q19" s="6">
        <f>N19*(1+O19)</f>
        <v/>
      </c>
      <c r="R19" s="6">
        <f>AVERAGE(P19,Q19)</f>
        <v/>
      </c>
      <c r="S19" s="6">
        <f>IF(B19="CERRO",S18,S18+P19)</f>
        <v/>
      </c>
      <c r="T19" s="6">
        <f>IF(B19="CERRO",T18,T18+Q19)</f>
        <v/>
      </c>
      <c r="U19" s="6">
        <f>IF(B19="CERRO",U18,U18+R19)</f>
        <v/>
      </c>
      <c r="V19" s="29" t="inlineStr">
        <is>
          <t>NO</t>
        </is>
      </c>
      <c r="W19" s="29" t="inlineStr">
        <is>
          <t>NO</t>
        </is>
      </c>
      <c r="X19" s="29" t="inlineStr">
        <is>
          <t>SI</t>
        </is>
      </c>
    </row>
    <row r="20">
      <c r="A20" s="17" t="n">
        <v>19</v>
      </c>
      <c r="B20" s="18" t="inlineStr">
        <is>
          <t>IMPERDIBLE</t>
        </is>
      </c>
      <c r="C20" s="23" t="inlineStr">
        <is>
          <t>ZBB</t>
        </is>
      </c>
      <c r="D20" s="20" t="n"/>
      <c r="E20" s="4" t="n">
        <v>60962</v>
      </c>
      <c r="F20" s="4" t="inlineStr">
        <is>
          <t>Cava Federal</t>
        </is>
      </c>
      <c r="G20" s="4" t="inlineStr">
        <is>
          <t>Jiro MDQ SA</t>
        </is>
      </c>
      <c r="H20" s="4" t="inlineStr">
        <is>
          <t>Stella Artois</t>
        </is>
      </c>
      <c r="I20" s="4" t="inlineStr">
        <is>
          <t>NOCTURNIDAD/EVENTOS</t>
        </is>
      </c>
      <c r="J20" s="21" t="n">
        <v>45597</v>
      </c>
      <c r="K20" s="21" t="n">
        <v>46327</v>
      </c>
      <c r="L20" s="22" t="n">
        <v>24</v>
      </c>
      <c r="M20" s="13" t="inlineStr">
        <is>
          <t>Renueva;</t>
        </is>
      </c>
      <c r="N20" s="6" t="n">
        <v>10000000</v>
      </c>
      <c r="O20" s="11" t="n">
        <v>0.68</v>
      </c>
      <c r="P20" s="5" t="n">
        <v>11754066.8012789</v>
      </c>
      <c r="Q20" s="6">
        <f>N20*(1+O20)</f>
        <v/>
      </c>
      <c r="R20" s="6">
        <f>AVERAGE(P20,Q20)</f>
        <v/>
      </c>
      <c r="S20" s="6">
        <f>IF(B20="CERRO",S19,S19+P20)</f>
        <v/>
      </c>
      <c r="T20" s="6">
        <f>IF(B20="CERRO",T19,T19+Q20)</f>
        <v/>
      </c>
      <c r="U20" s="6">
        <f>IF(B20="CERRO",U19,U19+R20)</f>
        <v/>
      </c>
      <c r="V20" s="29" t="inlineStr">
        <is>
          <t>NO</t>
        </is>
      </c>
      <c r="W20" s="29" t="inlineStr">
        <is>
          <t>NO</t>
        </is>
      </c>
      <c r="X20" s="29" t="inlineStr">
        <is>
          <t>SI</t>
        </is>
      </c>
    </row>
    <row r="21" ht="25" customHeight="1" s="32">
      <c r="A21" s="17" t="n">
        <v>20</v>
      </c>
      <c r="B21" s="18" t="inlineStr">
        <is>
          <t>IMPERDIBLE</t>
        </is>
      </c>
      <c r="C21" s="23" t="inlineStr">
        <is>
          <t>ZBB</t>
        </is>
      </c>
      <c r="D21" s="20" t="n"/>
      <c r="E21" s="4" t="n">
        <v>8242</v>
      </c>
      <c r="F21" s="4" t="inlineStr">
        <is>
          <t>Palma Bristo Amarras</t>
        </is>
      </c>
      <c r="G21" s="4" t="inlineStr">
        <is>
          <t>Morosenlacosta</t>
        </is>
      </c>
      <c r="H21" s="4" t="inlineStr">
        <is>
          <t>Corona</t>
        </is>
      </c>
      <c r="I21" s="4" t="inlineStr">
        <is>
          <t>BALNEARIOS</t>
        </is>
      </c>
      <c r="J21" s="21" t="n">
        <v>45292</v>
      </c>
      <c r="K21" s="21" t="n">
        <v>46388</v>
      </c>
      <c r="L21" s="22" t="n">
        <v>36</v>
      </c>
      <c r="M21" s="13" t="inlineStr">
        <is>
          <t>Vence post 2026; charlar mas adelante</t>
        </is>
      </c>
      <c r="N21" s="6" t="n">
        <v>10000000</v>
      </c>
      <c r="O21" s="11" t="n">
        <v>2.13</v>
      </c>
      <c r="P21" s="5" t="n">
        <v>22430795.22751351</v>
      </c>
      <c r="Q21" s="6">
        <f>N21*(1+O21)</f>
        <v/>
      </c>
      <c r="R21" s="6">
        <f>AVERAGE(P21,Q21)</f>
        <v/>
      </c>
      <c r="S21" s="6">
        <f>IF(B21="CERRO",S20,S20+P21)</f>
        <v/>
      </c>
      <c r="T21" s="6">
        <f>IF(B21="CERRO",T20,T20+Q21)</f>
        <v/>
      </c>
      <c r="U21" s="6">
        <f>IF(B21="CERRO",U20,U20+R21)</f>
        <v/>
      </c>
      <c r="V21" s="29" t="inlineStr">
        <is>
          <t>NO</t>
        </is>
      </c>
      <c r="W21" s="29" t="inlineStr">
        <is>
          <t>NO</t>
        </is>
      </c>
      <c r="X21" s="29" t="inlineStr">
        <is>
          <t>SI</t>
        </is>
      </c>
    </row>
    <row r="22" ht="25" customHeight="1" s="32">
      <c r="A22" s="17" t="n">
        <v>21</v>
      </c>
      <c r="B22" s="18" t="inlineStr">
        <is>
          <t>IMPERDIBLE</t>
        </is>
      </c>
      <c r="C22" s="19" t="inlineStr">
        <is>
          <t>TS</t>
        </is>
      </c>
      <c r="D22" s="20" t="n"/>
      <c r="E22" s="4" t="n">
        <v>60330</v>
      </c>
      <c r="F22" s="4" t="inlineStr">
        <is>
          <t>Waikiki</t>
        </is>
      </c>
      <c r="G22" s="4" t="inlineStr">
        <is>
          <t>PERGAMINO DEL MAR S.R.L.</t>
        </is>
      </c>
      <c r="H22" s="4" t="inlineStr">
        <is>
          <t>Stella Artois</t>
        </is>
      </c>
      <c r="I22" s="4" t="inlineStr">
        <is>
          <t>GASTRONOMIA</t>
        </is>
      </c>
      <c r="J22" s="21" t="n">
        <v>46023</v>
      </c>
      <c r="K22" s="21" t="n">
        <v>46388</v>
      </c>
      <c r="L22" s="22" t="n">
        <v>12</v>
      </c>
      <c r="M22" s="13" t="inlineStr">
        <is>
          <t>Vence post 2026; charlar mas adelante</t>
        </is>
      </c>
      <c r="N22" s="6" t="n">
        <v>10000000</v>
      </c>
      <c r="O22" s="11" t="n">
        <v>0.25</v>
      </c>
      <c r="P22" s="5" t="n">
        <v>9598669.671334401</v>
      </c>
      <c r="Q22" s="6">
        <f>N22*(1+O22)</f>
        <v/>
      </c>
      <c r="R22" s="6">
        <f>AVERAGE(P22,Q22)</f>
        <v/>
      </c>
      <c r="S22" s="6">
        <f>IF(B22="CERRO",S21,S21+P22)</f>
        <v/>
      </c>
      <c r="T22" s="6">
        <f>IF(B22="CERRO",T21,T21+Q22)</f>
        <v/>
      </c>
      <c r="U22" s="6">
        <f>IF(B22="CERRO",U21,U21+R22)</f>
        <v/>
      </c>
      <c r="V22" s="29" t="inlineStr">
        <is>
          <t>NO</t>
        </is>
      </c>
      <c r="W22" s="29" t="inlineStr">
        <is>
          <t>NO</t>
        </is>
      </c>
      <c r="X22" s="29" t="inlineStr">
        <is>
          <t>SI</t>
        </is>
      </c>
    </row>
    <row r="23" ht="25" customHeight="1" s="32">
      <c r="A23" s="17" t="n">
        <v>22</v>
      </c>
      <c r="B23" s="18" t="inlineStr">
        <is>
          <t>IMPERDIBLE</t>
        </is>
      </c>
      <c r="C23" s="19" t="inlineStr">
        <is>
          <t>TS</t>
        </is>
      </c>
      <c r="D23" s="20" t="n"/>
      <c r="E23" s="4" t="n">
        <v>4124</v>
      </c>
      <c r="F23" s="4" t="inlineStr">
        <is>
          <t>Hemingway</t>
        </is>
      </c>
      <c r="G23" s="4" t="inlineStr">
        <is>
          <t>HMNGWY S,A</t>
        </is>
      </c>
      <c r="H23" s="4" t="inlineStr">
        <is>
          <t>Corona</t>
        </is>
      </c>
      <c r="I23" s="4" t="inlineStr">
        <is>
          <t>BALNEARIOS</t>
        </is>
      </c>
      <c r="J23" s="21" t="n">
        <v>46023</v>
      </c>
      <c r="K23" s="21" t="n">
        <v>46388</v>
      </c>
      <c r="L23" s="22" t="n">
        <v>12</v>
      </c>
      <c r="M23" s="13" t="inlineStr">
        <is>
          <t>Vence post 2026; charlar mas adelante</t>
        </is>
      </c>
      <c r="N23" s="6" t="n">
        <v>8000000</v>
      </c>
      <c r="O23" s="11" t="n">
        <v>0.25</v>
      </c>
      <c r="P23" s="5" t="n">
        <v>7678935.737067521</v>
      </c>
      <c r="Q23" s="6">
        <f>N23*(1+O23)</f>
        <v/>
      </c>
      <c r="R23" s="6">
        <f>AVERAGE(P23,Q23)</f>
        <v/>
      </c>
      <c r="S23" s="6">
        <f>IF(B23="CERRO",S22,S22+P23)</f>
        <v/>
      </c>
      <c r="T23" s="6">
        <f>IF(B23="CERRO",T22,T22+Q23)</f>
        <v/>
      </c>
      <c r="U23" s="6">
        <f>IF(B23="CERRO",U22,U22+R23)</f>
        <v/>
      </c>
      <c r="V23" s="29" t="inlineStr">
        <is>
          <t>NO</t>
        </is>
      </c>
      <c r="W23" s="29" t="inlineStr">
        <is>
          <t>NO</t>
        </is>
      </c>
      <c r="X23" s="29" t="inlineStr">
        <is>
          <t>SI</t>
        </is>
      </c>
    </row>
    <row r="24" ht="25" customHeight="1" s="32">
      <c r="A24" s="17" t="n">
        <v>23</v>
      </c>
      <c r="B24" s="18" t="inlineStr">
        <is>
          <t>IMPERDIBLE</t>
        </is>
      </c>
      <c r="C24" s="23" t="inlineStr">
        <is>
          <t>ZBB</t>
        </is>
      </c>
      <c r="D24" s="20" t="n"/>
      <c r="E24" s="4" t="n">
        <v>4967</v>
      </c>
      <c r="F24" s="4" t="inlineStr">
        <is>
          <t>Mattone</t>
        </is>
      </c>
      <c r="G24" s="4" t="inlineStr">
        <is>
          <t>Bunge y Mar SA</t>
        </is>
      </c>
      <c r="H24" s="4" t="inlineStr">
        <is>
          <t>Stella Artois</t>
        </is>
      </c>
      <c r="I24" s="4" t="inlineStr">
        <is>
          <t>GASTRONOMIA</t>
        </is>
      </c>
      <c r="J24" s="21" t="n">
        <v>45658</v>
      </c>
      <c r="K24" s="21" t="n">
        <v>46388</v>
      </c>
      <c r="L24" s="22" t="n">
        <v>24</v>
      </c>
      <c r="M24" s="13" t="inlineStr">
        <is>
          <t>Vence post 2026; charlar mas adelante</t>
        </is>
      </c>
      <c r="N24" s="6" t="n">
        <v>6000000</v>
      </c>
      <c r="O24" s="11" t="n">
        <v>0.68</v>
      </c>
      <c r="P24" s="5" t="n">
        <v>6818653.13012486</v>
      </c>
      <c r="Q24" s="6">
        <f>N24*(1+O24)</f>
        <v/>
      </c>
      <c r="R24" s="6">
        <f>AVERAGE(P24,Q24)</f>
        <v/>
      </c>
      <c r="S24" s="6">
        <f>IF(B24="CERRO",S23,S23+P24)</f>
        <v/>
      </c>
      <c r="T24" s="6">
        <f>IF(B24="CERRO",T23,T23+Q24)</f>
        <v/>
      </c>
      <c r="U24" s="6">
        <f>IF(B24="CERRO",U23,U23+R24)</f>
        <v/>
      </c>
      <c r="V24" s="29" t="inlineStr">
        <is>
          <t>NO</t>
        </is>
      </c>
      <c r="W24" s="29" t="inlineStr">
        <is>
          <t>NO</t>
        </is>
      </c>
      <c r="X24" s="29" t="inlineStr">
        <is>
          <t>SI</t>
        </is>
      </c>
    </row>
    <row r="25" ht="25" customHeight="1" s="32">
      <c r="A25" s="17" t="n">
        <v>24</v>
      </c>
      <c r="B25" s="18" t="inlineStr">
        <is>
          <t>IMPERDIBLE</t>
        </is>
      </c>
      <c r="C25" s="19" t="inlineStr">
        <is>
          <t>TS</t>
        </is>
      </c>
      <c r="D25" s="20" t="n"/>
      <c r="E25" s="4" t="n">
        <v>1368</v>
      </c>
      <c r="F25" s="4" t="inlineStr">
        <is>
          <t>CR</t>
        </is>
      </c>
      <c r="G25" s="4" t="inlineStr">
        <is>
          <t>Fernandez y Fernandez S.H.</t>
        </is>
      </c>
      <c r="H25" s="4" t="inlineStr">
        <is>
          <t>Corona</t>
        </is>
      </c>
      <c r="I25" s="4" t="inlineStr">
        <is>
          <t>BALNEARIOS</t>
        </is>
      </c>
      <c r="J25" s="21" t="n">
        <v>46023</v>
      </c>
      <c r="K25" s="21" t="n">
        <v>46388</v>
      </c>
      <c r="L25" s="22" t="n">
        <v>12</v>
      </c>
      <c r="M25" s="13" t="inlineStr">
        <is>
          <t>Vence post 2026; charlar mas adelante</t>
        </is>
      </c>
      <c r="N25" s="6" t="n">
        <v>5000000</v>
      </c>
      <c r="O25" s="11" t="n">
        <v>0.25</v>
      </c>
      <c r="P25" s="5" t="n">
        <v>4799334.8356672</v>
      </c>
      <c r="Q25" s="6">
        <f>N25*(1+O25)</f>
        <v/>
      </c>
      <c r="R25" s="6">
        <f>AVERAGE(P25,Q25)</f>
        <v/>
      </c>
      <c r="S25" s="6">
        <f>IF(B25="CERRO",S24,S24+P25)</f>
        <v/>
      </c>
      <c r="T25" s="6">
        <f>IF(B25="CERRO",T24,T24+Q25)</f>
        <v/>
      </c>
      <c r="U25" s="6">
        <f>IF(B25="CERRO",U24,U24+R25)</f>
        <v/>
      </c>
      <c r="V25" s="29" t="inlineStr">
        <is>
          <t>NO</t>
        </is>
      </c>
      <c r="W25" s="29" t="inlineStr">
        <is>
          <t>NO</t>
        </is>
      </c>
      <c r="X25" s="29" t="inlineStr">
        <is>
          <t>SI</t>
        </is>
      </c>
    </row>
    <row r="26">
      <c r="A26" s="17" t="n">
        <v>25</v>
      </c>
      <c r="B26" s="18" t="inlineStr">
        <is>
          <t>IMPERDIBLE</t>
        </is>
      </c>
      <c r="C26" s="23" t="inlineStr">
        <is>
          <t>ZBB</t>
        </is>
      </c>
      <c r="D26" s="20" t="n"/>
      <c r="E26" s="4" t="n">
        <v>60753</v>
      </c>
      <c r="F26" s="4" t="inlineStr">
        <is>
          <t>DOS 55</t>
        </is>
      </c>
      <c r="G26" s="4" t="inlineStr">
        <is>
          <t>Huergo Roberto Adrián</t>
        </is>
      </c>
      <c r="H26" s="4" t="inlineStr">
        <is>
          <t>Stella Artois</t>
        </is>
      </c>
      <c r="I26" s="4" t="inlineStr">
        <is>
          <t>GASTRONOMIA</t>
        </is>
      </c>
      <c r="J26" s="21" t="n">
        <v>45778</v>
      </c>
      <c r="K26" s="21" t="n">
        <v>46143</v>
      </c>
      <c r="L26" s="22" t="n">
        <v>12</v>
      </c>
      <c r="M26" s="13" t="inlineStr">
        <is>
          <t>Renueva; importante para visitas</t>
        </is>
      </c>
      <c r="N26" s="6" t="n">
        <v>5000000</v>
      </c>
      <c r="O26" s="11" t="n">
        <v>0.25</v>
      </c>
      <c r="P26" s="5" t="n">
        <v>5243042.514035173</v>
      </c>
      <c r="Q26" s="6">
        <f>N26*(1+O26)</f>
        <v/>
      </c>
      <c r="R26" s="6">
        <f>AVERAGE(P26,Q26)</f>
        <v/>
      </c>
      <c r="S26" s="6">
        <f>IF(B26="CERRO",S25,S25+P26)</f>
        <v/>
      </c>
      <c r="T26" s="6">
        <f>IF(B26="CERRO",T25,T25+Q26)</f>
        <v/>
      </c>
      <c r="U26" s="6">
        <f>IF(B26="CERRO",U25,U25+R26)</f>
        <v/>
      </c>
      <c r="V26" s="29" t="inlineStr">
        <is>
          <t>NO</t>
        </is>
      </c>
      <c r="W26" s="29" t="inlineStr">
        <is>
          <t>NO</t>
        </is>
      </c>
      <c r="X26" s="29" t="inlineStr">
        <is>
          <t>SI</t>
        </is>
      </c>
    </row>
    <row r="27" ht="25" customHeight="1" s="32">
      <c r="A27" s="17" t="n">
        <v>26</v>
      </c>
      <c r="B27" s="18" t="inlineStr">
        <is>
          <t>IMPERDIBLE</t>
        </is>
      </c>
      <c r="C27" s="23" t="inlineStr">
        <is>
          <t>ZBB</t>
        </is>
      </c>
      <c r="D27" s="20" t="n"/>
      <c r="E27" s="4" t="n">
        <v>60356</v>
      </c>
      <c r="F27" s="4" t="inlineStr">
        <is>
          <t>SANTA</t>
        </is>
      </c>
      <c r="G27" s="4" t="inlineStr">
        <is>
          <t>Praisolo SA</t>
        </is>
      </c>
      <c r="H27" s="4" t="inlineStr">
        <is>
          <t>Stella Artois</t>
        </is>
      </c>
      <c r="I27" s="4" t="inlineStr">
        <is>
          <t>BALNEARIOS</t>
        </is>
      </c>
      <c r="J27" s="21" t="n">
        <v>45292</v>
      </c>
      <c r="K27" s="21" t="n">
        <v>46388</v>
      </c>
      <c r="L27" s="22" t="n">
        <v>36</v>
      </c>
      <c r="M27" s="13" t="inlineStr">
        <is>
          <t>Vence post 2026; charlar mas adelante</t>
        </is>
      </c>
      <c r="N27" s="6" t="n">
        <v>5000000</v>
      </c>
      <c r="O27" s="11" t="n">
        <v>2.13</v>
      </c>
      <c r="P27" s="5" t="n">
        <v>11215397.61375676</v>
      </c>
      <c r="Q27" s="6">
        <f>N27*(1+O27)</f>
        <v/>
      </c>
      <c r="R27" s="6">
        <f>AVERAGE(P27,Q27)</f>
        <v/>
      </c>
      <c r="S27" s="6">
        <f>IF(B27="CERRO",S26,S26+P27)</f>
        <v/>
      </c>
      <c r="T27" s="6">
        <f>IF(B27="CERRO",T26,T26+Q27)</f>
        <v/>
      </c>
      <c r="U27" s="6">
        <f>IF(B27="CERRO",U26,U26+R27)</f>
        <v/>
      </c>
      <c r="V27" s="29" t="inlineStr">
        <is>
          <t>NO</t>
        </is>
      </c>
      <c r="W27" s="29" t="inlineStr">
        <is>
          <t>NO</t>
        </is>
      </c>
      <c r="X27" s="29" t="inlineStr">
        <is>
          <t>SI</t>
        </is>
      </c>
    </row>
    <row r="28" ht="25" customHeight="1" s="32">
      <c r="A28" s="17" t="n">
        <v>27</v>
      </c>
      <c r="B28" s="18" t="inlineStr">
        <is>
          <t>IMPERDIBLE</t>
        </is>
      </c>
      <c r="C28" s="19" t="inlineStr">
        <is>
          <t>TS</t>
        </is>
      </c>
      <c r="D28" s="20" t="n"/>
      <c r="E28" s="4" t="n">
        <v>6555</v>
      </c>
      <c r="F28" s="4" t="inlineStr">
        <is>
          <t>Surfer</t>
        </is>
      </c>
      <c r="G28" s="4" t="inlineStr">
        <is>
          <t>Paola Giselle Pesce y Guillermo Eduardo Figueira</t>
        </is>
      </c>
      <c r="H28" s="4" t="inlineStr">
        <is>
          <t>Corona</t>
        </is>
      </c>
      <c r="I28" s="4" t="inlineStr">
        <is>
          <t>GASTRONOMIA</t>
        </is>
      </c>
      <c r="J28" s="21" t="n">
        <v>46023</v>
      </c>
      <c r="K28" s="21" t="n">
        <v>46388</v>
      </c>
      <c r="L28" s="22" t="n">
        <v>12</v>
      </c>
      <c r="M28" s="13" t="inlineStr">
        <is>
          <t>Vence post 2026; charlar mas adelante</t>
        </is>
      </c>
      <c r="N28" s="6" t="n">
        <v>5000000</v>
      </c>
      <c r="O28" s="11" t="n">
        <v>0.25</v>
      </c>
      <c r="P28" s="5" t="n">
        <v>4799334.8356672</v>
      </c>
      <c r="Q28" s="6">
        <f>N28*(1+O28)</f>
        <v/>
      </c>
      <c r="R28" s="6">
        <f>AVERAGE(P28,Q28)</f>
        <v/>
      </c>
      <c r="S28" s="6">
        <f>IF(B28="CERRO",S27,S27+P28)</f>
        <v/>
      </c>
      <c r="T28" s="6">
        <f>IF(B28="CERRO",T27,T27+Q28)</f>
        <v/>
      </c>
      <c r="U28" s="6">
        <f>IF(B28="CERRO",U27,U27+R28)</f>
        <v/>
      </c>
      <c r="V28" s="29" t="inlineStr">
        <is>
          <t>NO</t>
        </is>
      </c>
      <c r="W28" s="29" t="inlineStr">
        <is>
          <t>NO</t>
        </is>
      </c>
      <c r="X28" s="29" t="inlineStr">
        <is>
          <t>SI</t>
        </is>
      </c>
    </row>
    <row r="29">
      <c r="A29" s="17" t="n">
        <v>28</v>
      </c>
      <c r="B29" s="18" t="inlineStr">
        <is>
          <t>IMPERDIBLE</t>
        </is>
      </c>
      <c r="C29" s="23" t="inlineStr">
        <is>
          <t>ZBB</t>
        </is>
      </c>
      <c r="D29" s="20" t="n"/>
      <c r="E29" s="4" t="n">
        <v>8545</v>
      </c>
      <c r="F29" s="4" t="inlineStr">
        <is>
          <t>Hondo</t>
        </is>
      </c>
      <c r="G29" s="4" t="inlineStr">
        <is>
          <t>De Jesús Juan Aramis</t>
        </is>
      </c>
      <c r="H29" s="4" t="inlineStr">
        <is>
          <t>Stella Artois</t>
        </is>
      </c>
      <c r="I29" s="4" t="inlineStr">
        <is>
          <t>GASTRONOMIA</t>
        </is>
      </c>
      <c r="J29" s="21" t="n">
        <v>45627</v>
      </c>
      <c r="K29" s="21" t="n">
        <v>46357</v>
      </c>
      <c r="L29" s="22" t="n">
        <v>24</v>
      </c>
      <c r="M29" s="13" t="inlineStr">
        <is>
          <t>Pendiente de revisar con región</t>
        </is>
      </c>
      <c r="N29" s="6" t="n">
        <v>4000000</v>
      </c>
      <c r="O29" s="11" t="n">
        <v>0.68</v>
      </c>
      <c r="P29" s="5" t="n">
        <v>4596292.198792404</v>
      </c>
      <c r="Q29" s="6">
        <f>N29*(1+O29)</f>
        <v/>
      </c>
      <c r="R29" s="6">
        <f>AVERAGE(P29,Q29)</f>
        <v/>
      </c>
      <c r="S29" s="6">
        <f>IF(B29="CERRO",S28,S28+P29)</f>
        <v/>
      </c>
      <c r="T29" s="6">
        <f>IF(B29="CERRO",T28,T28+Q29)</f>
        <v/>
      </c>
      <c r="U29" s="6">
        <f>IF(B29="CERRO",U28,U28+R29)</f>
        <v/>
      </c>
      <c r="V29" s="29" t="inlineStr">
        <is>
          <t>NO</t>
        </is>
      </c>
      <c r="W29" s="29" t="inlineStr">
        <is>
          <t>NO</t>
        </is>
      </c>
      <c r="X29" s="29" t="inlineStr">
        <is>
          <t>SI</t>
        </is>
      </c>
    </row>
    <row r="30">
      <c r="A30" s="17" t="n">
        <v>29</v>
      </c>
      <c r="B30" s="18" t="inlineStr">
        <is>
          <t>IMPERDIBLE</t>
        </is>
      </c>
      <c r="C30" s="23" t="inlineStr">
        <is>
          <t>ZBB</t>
        </is>
      </c>
      <c r="D30" s="20" t="n"/>
      <c r="E30" s="4" t="n"/>
      <c r="F30" s="4" t="inlineStr">
        <is>
          <t>Negroni pinamar</t>
        </is>
      </c>
      <c r="G30" s="4" t="inlineStr">
        <is>
          <t xml:space="preserve"> LOJAPAZ PINAMAR S.A.</t>
        </is>
      </c>
      <c r="H30" s="4" t="inlineStr">
        <is>
          <t>Stella Artois</t>
        </is>
      </c>
      <c r="I30" s="4" t="inlineStr">
        <is>
          <t>BALNEARIOS</t>
        </is>
      </c>
      <c r="J30" s="21" t="n">
        <v>45597</v>
      </c>
      <c r="K30" s="21" t="n">
        <v>46327</v>
      </c>
      <c r="L30" s="22" t="n">
        <v>24</v>
      </c>
      <c r="M30" s="13" t="inlineStr">
        <is>
          <t>No renueva; cerro</t>
        </is>
      </c>
      <c r="N30" s="6" t="n">
        <v>4000000</v>
      </c>
      <c r="O30" s="11" t="n">
        <v>0.68</v>
      </c>
      <c r="P30" s="5" t="n">
        <v>4701626.720511558</v>
      </c>
      <c r="Q30" s="6">
        <f>N30*(1+O30)</f>
        <v/>
      </c>
      <c r="R30" s="6">
        <f>AVERAGE(P30,Q30)</f>
        <v/>
      </c>
      <c r="S30" s="6">
        <f>IF(B30="CERRO",S29,S29+P30)</f>
        <v/>
      </c>
      <c r="T30" s="6">
        <f>IF(B30="CERRO",T29,T29+Q30)</f>
        <v/>
      </c>
      <c r="U30" s="6">
        <f>IF(B30="CERRO",U29,U29+R30)</f>
        <v/>
      </c>
      <c r="V30" s="29" t="inlineStr">
        <is>
          <t>NO</t>
        </is>
      </c>
      <c r="W30" s="29" t="inlineStr">
        <is>
          <t>NO</t>
        </is>
      </c>
      <c r="X30" s="29" t="inlineStr">
        <is>
          <t>SI</t>
        </is>
      </c>
    </row>
    <row r="31" ht="25" customHeight="1" s="32">
      <c r="A31" s="17" t="n">
        <v>30</v>
      </c>
      <c r="B31" s="18" t="inlineStr">
        <is>
          <t>IMPERDIBLE</t>
        </is>
      </c>
      <c r="C31" s="23" t="inlineStr">
        <is>
          <t>ZBB</t>
        </is>
      </c>
      <c r="D31" s="20" t="n"/>
      <c r="E31" s="4" t="n">
        <v>5978</v>
      </c>
      <c r="F31" s="4" t="inlineStr">
        <is>
          <t>Cooperativa de Pesca</t>
        </is>
      </c>
      <c r="G31" s="4" t="inlineStr">
        <is>
          <t>Cooperativa de trabajo artesanal pescadores de Pinamar ltda</t>
        </is>
      </c>
      <c r="H31" s="4" t="inlineStr">
        <is>
          <t>Quilmes</t>
        </is>
      </c>
      <c r="I31" s="4" t="inlineStr">
        <is>
          <t>GASTRONOMIA</t>
        </is>
      </c>
      <c r="J31" s="21" t="n">
        <v>45658</v>
      </c>
      <c r="K31" s="21" t="n">
        <v>46388</v>
      </c>
      <c r="L31" s="22" t="n">
        <v>24</v>
      </c>
      <c r="M31" s="13" t="inlineStr">
        <is>
          <t>Vence post 2026; charlar mas adelante</t>
        </is>
      </c>
      <c r="N31" s="6" t="n">
        <v>3500000</v>
      </c>
      <c r="O31" s="11" t="n">
        <v>0.68</v>
      </c>
      <c r="P31" s="5" t="n">
        <v>4679467.834399414</v>
      </c>
      <c r="Q31" s="6">
        <f>N31*(1+O31)</f>
        <v/>
      </c>
      <c r="R31" s="6">
        <f>AVERAGE(P31,Q31)</f>
        <v/>
      </c>
      <c r="S31" s="6">
        <f>IF(B31="CERRO",S30,S30+P31)</f>
        <v/>
      </c>
      <c r="T31" s="6">
        <f>IF(B31="CERRO",T30,T30+Q31)</f>
        <v/>
      </c>
      <c r="U31" s="6">
        <f>IF(B31="CERRO",U30,U30+R31)</f>
        <v/>
      </c>
      <c r="V31" s="29" t="inlineStr">
        <is>
          <t>NO</t>
        </is>
      </c>
      <c r="W31" s="29" t="inlineStr">
        <is>
          <t>NO</t>
        </is>
      </c>
      <c r="X31" s="29" t="inlineStr">
        <is>
          <t>SI</t>
        </is>
      </c>
    </row>
    <row r="32" ht="25" customHeight="1" s="32">
      <c r="A32" s="17" t="n">
        <v>31</v>
      </c>
      <c r="B32" s="18" t="inlineStr">
        <is>
          <t>IMPERDIBLE</t>
        </is>
      </c>
      <c r="C32" s="19" t="inlineStr">
        <is>
          <t>TS</t>
        </is>
      </c>
      <c r="D32" s="20" t="n"/>
      <c r="E32" s="4" t="n">
        <v>8194</v>
      </c>
      <c r="F32" s="4" t="inlineStr">
        <is>
          <t>Kai Bar</t>
        </is>
      </c>
      <c r="G32" s="4" t="inlineStr">
        <is>
          <t>Kai Esmeralda SA</t>
        </is>
      </c>
      <c r="H32" s="4" t="inlineStr">
        <is>
          <t>Corona</t>
        </is>
      </c>
      <c r="I32" s="4" t="inlineStr">
        <is>
          <t>GASTRONOMIA</t>
        </is>
      </c>
      <c r="J32" s="21" t="n">
        <v>46023</v>
      </c>
      <c r="K32" s="21" t="n">
        <v>46388</v>
      </c>
      <c r="L32" s="22" t="n">
        <v>12</v>
      </c>
      <c r="M32" s="13" t="inlineStr">
        <is>
          <t>Vence post 2026; charlar mas adelante</t>
        </is>
      </c>
      <c r="N32" s="6" t="n">
        <v>2200000</v>
      </c>
      <c r="O32" s="11" t="n">
        <v>0.25</v>
      </c>
      <c r="P32" s="5" t="n">
        <v>2111707.327693568</v>
      </c>
      <c r="Q32" s="6">
        <f>N32*(1+O32)</f>
        <v/>
      </c>
      <c r="R32" s="6">
        <f>AVERAGE(P32,Q32)</f>
        <v/>
      </c>
      <c r="S32" s="6">
        <f>IF(B32="CERRO",S31,S31+P32)</f>
        <v/>
      </c>
      <c r="T32" s="6">
        <f>IF(B32="CERRO",T31,T31+Q32)</f>
        <v/>
      </c>
      <c r="U32" s="6">
        <f>IF(B32="CERRO",U31,U31+R32)</f>
        <v/>
      </c>
      <c r="V32" s="29" t="inlineStr">
        <is>
          <t>NO</t>
        </is>
      </c>
      <c r="W32" s="29" t="inlineStr">
        <is>
          <t>NO</t>
        </is>
      </c>
      <c r="X32" s="29" t="inlineStr">
        <is>
          <t>SI</t>
        </is>
      </c>
    </row>
    <row r="33" ht="25" customHeight="1" s="32">
      <c r="A33" s="17" t="n">
        <v>32</v>
      </c>
      <c r="B33" s="18" t="inlineStr">
        <is>
          <t>IMPERDIBLE</t>
        </is>
      </c>
      <c r="C33" s="19" t="inlineStr">
        <is>
          <t>TS</t>
        </is>
      </c>
      <c r="D33" s="20" t="n"/>
      <c r="E33" s="4" t="n">
        <v>9313</v>
      </c>
      <c r="F33" s="4" t="inlineStr">
        <is>
          <t xml:space="preserve">Parentela </t>
        </is>
      </c>
      <c r="G33" s="4" t="inlineStr">
        <is>
          <t>Fuera del Molde SA</t>
        </is>
      </c>
      <c r="H33" s="4" t="inlineStr">
        <is>
          <t>Stella Artois</t>
        </is>
      </c>
      <c r="I33" s="4" t="inlineStr">
        <is>
          <t>GASTRONOMIA</t>
        </is>
      </c>
      <c r="J33" s="21" t="n">
        <v>46023</v>
      </c>
      <c r="K33" s="21" t="n">
        <v>46388</v>
      </c>
      <c r="L33" s="22" t="n">
        <v>12</v>
      </c>
      <c r="M33" s="13" t="inlineStr">
        <is>
          <t>Vence post 2026; charlar mas adelante</t>
        </is>
      </c>
      <c r="N33" s="6" t="n">
        <v>1200000</v>
      </c>
      <c r="O33" s="11" t="n">
        <v>0.25</v>
      </c>
      <c r="P33" s="5" t="n">
        <v>1060263.146341725</v>
      </c>
      <c r="Q33" s="6">
        <f>N33*(1+O33)</f>
        <v/>
      </c>
      <c r="R33" s="6">
        <f>AVERAGE(P33,Q33)</f>
        <v/>
      </c>
      <c r="S33" s="6">
        <f>IF(B33="CERRO",S32,S32+P33)</f>
        <v/>
      </c>
      <c r="T33" s="6">
        <f>IF(B33="CERRO",T32,T32+Q33)</f>
        <v/>
      </c>
      <c r="U33" s="6">
        <f>IF(B33="CERRO",U32,U32+R33)</f>
        <v/>
      </c>
      <c r="V33" s="29" t="inlineStr">
        <is>
          <t>NO</t>
        </is>
      </c>
      <c r="W33" s="29" t="inlineStr">
        <is>
          <t>NO</t>
        </is>
      </c>
      <c r="X33" s="29" t="inlineStr">
        <is>
          <t>SI</t>
        </is>
      </c>
    </row>
    <row r="34" ht="25" customHeight="1" s="32">
      <c r="A34" s="17" t="n">
        <v>33</v>
      </c>
      <c r="B34" s="25" t="inlineStr">
        <is>
          <t>DISCUTIBLE</t>
        </is>
      </c>
      <c r="C34" s="19" t="inlineStr">
        <is>
          <t>TS</t>
        </is>
      </c>
      <c r="D34" s="20" t="n"/>
      <c r="E34" s="4" t="n">
        <v>60620</v>
      </c>
      <c r="F34" s="4" t="inlineStr">
        <is>
          <t>La Normandina</t>
        </is>
      </c>
      <c r="G34" s="4" t="inlineStr">
        <is>
          <t>Paseo Normandie SA</t>
        </is>
      </c>
      <c r="H34" s="4" t="inlineStr">
        <is>
          <t>Brahma</t>
        </is>
      </c>
      <c r="I34" s="4" t="inlineStr">
        <is>
          <t>NOCTURNIDAD/EVENTOS</t>
        </is>
      </c>
      <c r="J34" s="21" t="n">
        <v>46023</v>
      </c>
      <c r="K34" s="21" t="n">
        <v>46388</v>
      </c>
      <c r="L34" s="22" t="n">
        <v>12</v>
      </c>
      <c r="M34" s="13" t="inlineStr">
        <is>
          <t>Vence post 2026; charlar mas adelante</t>
        </is>
      </c>
      <c r="N34" s="6" t="n">
        <v>70000000</v>
      </c>
      <c r="O34" s="11" t="n">
        <v>0.25</v>
      </c>
      <c r="P34" s="5" t="n">
        <v>67190687.69934081</v>
      </c>
      <c r="Q34" s="6">
        <f>N34*(1+O34)</f>
        <v/>
      </c>
      <c r="R34" s="6">
        <f>AVERAGE(P34,Q34)</f>
        <v/>
      </c>
      <c r="S34" s="6">
        <f>IF(B34="CERRO",S33,S33+P34)</f>
        <v/>
      </c>
      <c r="T34" s="6">
        <f>IF(B34="CERRO",T33,T33+Q34)</f>
        <v/>
      </c>
      <c r="U34" s="6">
        <f>IF(B34="CERRO",U33,U33+R34)</f>
        <v/>
      </c>
      <c r="V34" s="29" t="inlineStr">
        <is>
          <t>NO</t>
        </is>
      </c>
      <c r="W34" s="29" t="inlineStr">
        <is>
          <t>NO</t>
        </is>
      </c>
      <c r="X34" s="29" t="inlineStr">
        <is>
          <t>SI</t>
        </is>
      </c>
    </row>
    <row r="35">
      <c r="A35" s="17" t="n">
        <v>34</v>
      </c>
      <c r="B35" s="25" t="inlineStr">
        <is>
          <t>DISCUTIBLE</t>
        </is>
      </c>
      <c r="C35" s="23" t="inlineStr">
        <is>
          <t>ZBB</t>
        </is>
      </c>
      <c r="D35" s="20" t="n"/>
      <c r="E35" s="4" t="n">
        <v>3238</v>
      </c>
      <c r="F35" s="4" t="inlineStr">
        <is>
          <t>Brothers</t>
        </is>
      </c>
      <c r="G35" s="4" t="inlineStr">
        <is>
          <t>Diego Heter</t>
        </is>
      </c>
      <c r="H35" s="4" t="inlineStr">
        <is>
          <t>Patagonia</t>
        </is>
      </c>
      <c r="I35" s="4" t="inlineStr">
        <is>
          <t>NOCTURNIDAD/EVENTOS</t>
        </is>
      </c>
      <c r="J35" s="21" t="n">
        <v>45627</v>
      </c>
      <c r="K35" s="21" t="n">
        <v>46357</v>
      </c>
      <c r="L35" s="22" t="n">
        <v>24</v>
      </c>
      <c r="M35" s="13" t="inlineStr">
        <is>
          <t>Pendiente de revisar con región</t>
        </is>
      </c>
      <c r="N35" s="6" t="n">
        <v>65000000</v>
      </c>
      <c r="O35" s="11" t="n">
        <v>0.68</v>
      </c>
      <c r="P35" s="5" t="n">
        <v>74689748.23037657</v>
      </c>
      <c r="Q35" s="6">
        <f>N35*(1+O35)</f>
        <v/>
      </c>
      <c r="R35" s="6">
        <f>AVERAGE(P35,Q35)</f>
        <v/>
      </c>
      <c r="S35" s="6">
        <f>IF(B35="CERRO",S34,S34+P35)</f>
        <v/>
      </c>
      <c r="T35" s="6">
        <f>IF(B35="CERRO",T34,T34+Q35)</f>
        <v/>
      </c>
      <c r="U35" s="6">
        <f>IF(B35="CERRO",U34,U34+R35)</f>
        <v/>
      </c>
      <c r="V35" s="29" t="inlineStr">
        <is>
          <t>NO</t>
        </is>
      </c>
      <c r="W35" s="29" t="inlineStr">
        <is>
          <t>NO</t>
        </is>
      </c>
      <c r="X35" s="29" t="inlineStr">
        <is>
          <t>NO</t>
        </is>
      </c>
    </row>
    <row r="36">
      <c r="A36" s="17" t="n">
        <v>35</v>
      </c>
      <c r="B36" s="25" t="inlineStr">
        <is>
          <t>DISCUTIBLE</t>
        </is>
      </c>
      <c r="C36" s="23" t="inlineStr">
        <is>
          <t>ZBB</t>
        </is>
      </c>
      <c r="D36" s="20" t="n"/>
      <c r="E36" s="4" t="n">
        <v>8383</v>
      </c>
      <c r="F36" s="4" t="inlineStr">
        <is>
          <t>Camping Americano</t>
        </is>
      </c>
      <c r="G36" s="4" t="inlineStr">
        <is>
          <t>EPICURAE AMERICANOSERV S.A</t>
        </is>
      </c>
      <c r="H36" s="4" t="inlineStr">
        <is>
          <t>Corona</t>
        </is>
      </c>
      <c r="I36" s="4" t="inlineStr">
        <is>
          <t>OTROS</t>
        </is>
      </c>
      <c r="J36" s="21" t="n">
        <v>45627</v>
      </c>
      <c r="K36" s="21" t="n">
        <v>46357</v>
      </c>
      <c r="L36" s="22" t="n">
        <v>24</v>
      </c>
      <c r="M36" s="13" t="inlineStr">
        <is>
          <t>Pendiente de revisar con región</t>
        </is>
      </c>
      <c r="N36" s="6" t="n">
        <v>11000000</v>
      </c>
      <c r="O36" s="11" t="n">
        <v>0.68</v>
      </c>
      <c r="P36" s="5" t="n">
        <v>12639803.54667911</v>
      </c>
      <c r="Q36" s="6">
        <f>N36*(1+O36)</f>
        <v/>
      </c>
      <c r="R36" s="6">
        <f>AVERAGE(P36,Q36)</f>
        <v/>
      </c>
      <c r="S36" s="6">
        <f>IF(B36="CERRO",S35,S35+P36)</f>
        <v/>
      </c>
      <c r="T36" s="6">
        <f>IF(B36="CERRO",T35,T35+Q36)</f>
        <v/>
      </c>
      <c r="U36" s="6">
        <f>IF(B36="CERRO",U35,U35+R36)</f>
        <v/>
      </c>
      <c r="V36" s="29" t="inlineStr">
        <is>
          <t>NO</t>
        </is>
      </c>
      <c r="W36" s="29" t="inlineStr">
        <is>
          <t>NO</t>
        </is>
      </c>
      <c r="X36" s="29" t="inlineStr">
        <is>
          <t>NO</t>
        </is>
      </c>
    </row>
    <row r="37" ht="25" customHeight="1" s="32">
      <c r="A37" s="17" t="n">
        <v>36</v>
      </c>
      <c r="B37" s="25" t="inlineStr">
        <is>
          <t>DISCUTIBLE</t>
        </is>
      </c>
      <c r="C37" s="23" t="inlineStr">
        <is>
          <t>ZBB</t>
        </is>
      </c>
      <c r="D37" s="20" t="n"/>
      <c r="E37" s="4" t="n">
        <v>60931</v>
      </c>
      <c r="F37" s="4" t="inlineStr">
        <is>
          <t>Mambrú</t>
        </is>
      </c>
      <c r="G37" s="4" t="inlineStr">
        <is>
          <t>BALL LLATINAS FERNANDO JORGE</t>
        </is>
      </c>
      <c r="H37" s="4" t="inlineStr">
        <is>
          <t>Quilmes</t>
        </is>
      </c>
      <c r="I37" s="4" t="inlineStr">
        <is>
          <t>GASTRONOMIA</t>
        </is>
      </c>
      <c r="J37" s="21" t="n">
        <v>45658</v>
      </c>
      <c r="K37" s="21" t="n">
        <v>46388</v>
      </c>
      <c r="L37" s="22" t="n">
        <v>24</v>
      </c>
      <c r="M37" s="13" t="inlineStr">
        <is>
          <t>Vence post 2026; charlar mas adelante</t>
        </is>
      </c>
      <c r="N37" s="6" t="n">
        <v>8000000</v>
      </c>
      <c r="O37" s="11" t="n">
        <v>0.68</v>
      </c>
      <c r="P37" s="5" t="n">
        <v>9091537.506833147</v>
      </c>
      <c r="Q37" s="6">
        <f>N37*(1+O37)</f>
        <v/>
      </c>
      <c r="R37" s="6">
        <f>AVERAGE(P37,Q37)</f>
        <v/>
      </c>
      <c r="S37" s="6">
        <f>IF(B37="CERRO",S36,S36+P37)</f>
        <v/>
      </c>
      <c r="T37" s="6">
        <f>IF(B37="CERRO",T36,T36+Q37)</f>
        <v/>
      </c>
      <c r="U37" s="6">
        <f>IF(B37="CERRO",U36,U36+R37)</f>
        <v/>
      </c>
      <c r="V37" s="29" t="inlineStr">
        <is>
          <t>NO</t>
        </is>
      </c>
      <c r="W37" s="29" t="inlineStr">
        <is>
          <t>NO</t>
        </is>
      </c>
      <c r="X37" s="29" t="inlineStr">
        <is>
          <t>NO</t>
        </is>
      </c>
    </row>
    <row r="38" ht="25" customHeight="1" s="32">
      <c r="A38" s="17" t="n">
        <v>37</v>
      </c>
      <c r="B38" s="25" t="inlineStr">
        <is>
          <t>DISCUTIBLE</t>
        </is>
      </c>
      <c r="C38" s="19" t="inlineStr">
        <is>
          <t>TS</t>
        </is>
      </c>
      <c r="D38" s="20" t="n"/>
      <c r="E38" s="4" t="n">
        <v>60692</v>
      </c>
      <c r="F38" s="4" t="inlineStr">
        <is>
          <t>El Condor</t>
        </is>
      </c>
      <c r="G38" s="4" t="inlineStr">
        <is>
          <t>ANJUFA S.A.</t>
        </is>
      </c>
      <c r="H38" s="4" t="inlineStr">
        <is>
          <t>Stella Artois</t>
        </is>
      </c>
      <c r="I38" s="4" t="inlineStr">
        <is>
          <t>GASTRONOMIA</t>
        </is>
      </c>
      <c r="J38" s="21" t="n">
        <v>46023</v>
      </c>
      <c r="K38" s="21" t="n">
        <v>46388</v>
      </c>
      <c r="L38" s="22" t="n">
        <v>12</v>
      </c>
      <c r="M38" s="13" t="inlineStr">
        <is>
          <t>Vence post 2026; charlar mas adelante</t>
        </is>
      </c>
      <c r="N38" s="6" t="n">
        <v>2200000</v>
      </c>
      <c r="O38" s="11" t="n">
        <v>0.25</v>
      </c>
      <c r="P38" s="5" t="n">
        <v>2111707.327693568</v>
      </c>
      <c r="Q38" s="6">
        <f>N38*(1+O38)</f>
        <v/>
      </c>
      <c r="R38" s="6">
        <f>AVERAGE(P38,Q38)</f>
        <v/>
      </c>
      <c r="S38" s="6">
        <f>IF(B38="CERRO",S37,S37+P38)</f>
        <v/>
      </c>
      <c r="T38" s="6">
        <f>IF(B38="CERRO",T37,T37+Q38)</f>
        <v/>
      </c>
      <c r="U38" s="6">
        <f>IF(B38="CERRO",U37,U37+R38)</f>
        <v/>
      </c>
      <c r="V38" s="29" t="inlineStr">
        <is>
          <t>NO</t>
        </is>
      </c>
      <c r="W38" s="29" t="inlineStr">
        <is>
          <t>NO</t>
        </is>
      </c>
      <c r="X38" s="29" t="inlineStr">
        <is>
          <t>NO</t>
        </is>
      </c>
    </row>
    <row r="39" ht="25" customHeight="1" s="32">
      <c r="A39" s="17" t="n">
        <v>38</v>
      </c>
      <c r="B39" s="25" t="inlineStr">
        <is>
          <t>DISCUTIBLE</t>
        </is>
      </c>
      <c r="C39" s="19" t="inlineStr">
        <is>
          <t>TS</t>
        </is>
      </c>
      <c r="D39" s="20" t="n"/>
      <c r="E39" s="4" t="n">
        <v>9452</v>
      </c>
      <c r="F39" s="4" t="inlineStr">
        <is>
          <t xml:space="preserve">Olivo </t>
        </is>
      </c>
      <c r="G39" s="4" t="inlineStr">
        <is>
          <t xml:space="preserve">ARABIA GASTRONOMICA S.R.L. </t>
        </is>
      </c>
      <c r="H39" s="4" t="inlineStr">
        <is>
          <t>Stella Artois</t>
        </is>
      </c>
      <c r="I39" s="4" t="inlineStr">
        <is>
          <t>GASTRONOMIA</t>
        </is>
      </c>
      <c r="J39" s="21" t="n">
        <v>46023</v>
      </c>
      <c r="K39" s="21" t="n">
        <v>46388</v>
      </c>
      <c r="L39" s="22" t="n">
        <v>12</v>
      </c>
      <c r="M39" s="13" t="inlineStr">
        <is>
          <t>Vence post 2026; charlar mas adelante</t>
        </is>
      </c>
      <c r="N39" s="6" t="n">
        <v>1800000</v>
      </c>
      <c r="O39" s="11" t="n">
        <v>0.25</v>
      </c>
      <c r="P39" s="5" t="n">
        <v>1727760.540840192</v>
      </c>
      <c r="Q39" s="6">
        <f>N39*(1+O39)</f>
        <v/>
      </c>
      <c r="R39" s="6">
        <f>AVERAGE(P39,Q39)</f>
        <v/>
      </c>
      <c r="S39" s="6">
        <f>IF(B39="CERRO",S38,S38+P39)</f>
        <v/>
      </c>
      <c r="T39" s="6">
        <f>IF(B39="CERRO",T38,T38+Q39)</f>
        <v/>
      </c>
      <c r="U39" s="6">
        <f>IF(B39="CERRO",U38,U38+R39)</f>
        <v/>
      </c>
      <c r="V39" s="29" t="inlineStr">
        <is>
          <t>NO</t>
        </is>
      </c>
      <c r="W39" s="29" t="inlineStr">
        <is>
          <t>NO</t>
        </is>
      </c>
      <c r="X39" s="29" t="inlineStr">
        <is>
          <t>NO</t>
        </is>
      </c>
    </row>
    <row r="40">
      <c r="A40" s="17" t="n">
        <v>39</v>
      </c>
      <c r="B40" s="25" t="inlineStr">
        <is>
          <t>DISCUTIBLE</t>
        </is>
      </c>
      <c r="C40" s="23" t="inlineStr">
        <is>
          <t>ZBB</t>
        </is>
      </c>
      <c r="D40" s="20" t="n"/>
      <c r="E40" s="4" t="n">
        <v>61033</v>
      </c>
      <c r="F40" s="4" t="inlineStr">
        <is>
          <t>NEREA</t>
        </is>
      </c>
      <c r="G40" s="4" t="inlineStr">
        <is>
          <t>SHAW AND BEACH S.A.</t>
        </is>
      </c>
      <c r="H40" s="4" t="inlineStr">
        <is>
          <t>Stella Artois</t>
        </is>
      </c>
      <c r="I40" s="4" t="inlineStr">
        <is>
          <t>GASTRONOMIA</t>
        </is>
      </c>
      <c r="J40" s="21" t="n">
        <v>45627</v>
      </c>
      <c r="K40" s="21" t="n">
        <v>46357</v>
      </c>
      <c r="L40" s="22" t="n">
        <v>24</v>
      </c>
      <c r="M40" s="13" t="inlineStr">
        <is>
          <t>Pendiente de revisar con región</t>
        </is>
      </c>
      <c r="N40" s="6" t="n">
        <v>1700000</v>
      </c>
      <c r="O40" s="11" t="n">
        <v>0.68</v>
      </c>
      <c r="P40" s="5" t="n">
        <v>1953424.184486772</v>
      </c>
      <c r="Q40" s="6">
        <f>N40*(1+O40)</f>
        <v/>
      </c>
      <c r="R40" s="6">
        <f>AVERAGE(P40,Q40)</f>
        <v/>
      </c>
      <c r="S40" s="6">
        <f>IF(B40="CERRO",S39,S39+P40)</f>
        <v/>
      </c>
      <c r="T40" s="6">
        <f>IF(B40="CERRO",T39,T39+Q40)</f>
        <v/>
      </c>
      <c r="U40" s="6">
        <f>IF(B40="CERRO",U39,U39+R40)</f>
        <v/>
      </c>
      <c r="V40" s="29" t="inlineStr">
        <is>
          <t>NO</t>
        </is>
      </c>
      <c r="W40" s="29" t="inlineStr">
        <is>
          <t>NO</t>
        </is>
      </c>
      <c r="X40" s="29" t="inlineStr">
        <is>
          <t>NO</t>
        </is>
      </c>
    </row>
    <row r="41" ht="25" customHeight="1" s="32">
      <c r="A41" s="17" t="n">
        <v>40</v>
      </c>
      <c r="B41" s="25" t="inlineStr">
        <is>
          <t>DISCUTIBLE</t>
        </is>
      </c>
      <c r="C41" s="19" t="inlineStr">
        <is>
          <t>TS</t>
        </is>
      </c>
      <c r="D41" s="20" t="n"/>
      <c r="E41" s="4" t="n">
        <v>60233</v>
      </c>
      <c r="F41" s="4" t="inlineStr">
        <is>
          <t>El Taino</t>
        </is>
      </c>
      <c r="G41" s="4" t="inlineStr">
        <is>
          <t>Playas del Vesubio SRL</t>
        </is>
      </c>
      <c r="H41" s="4" t="inlineStr">
        <is>
          <t>Brahma</t>
        </is>
      </c>
      <c r="I41" s="4" t="inlineStr">
        <is>
          <t>BALNEARIOS</t>
        </is>
      </c>
      <c r="J41" s="21" t="n">
        <v>46023</v>
      </c>
      <c r="K41" s="21" t="n">
        <v>46388</v>
      </c>
      <c r="L41" s="22" t="n">
        <v>12</v>
      </c>
      <c r="M41" s="13" t="inlineStr">
        <is>
          <t>Vence post 2026; charlar mas adelante</t>
        </is>
      </c>
      <c r="N41" s="6" t="n">
        <v>1200000</v>
      </c>
      <c r="O41" s="11" t="n">
        <v>0.25</v>
      </c>
      <c r="P41" s="5" t="n">
        <v>1151840.360560128</v>
      </c>
      <c r="Q41" s="6">
        <f>N41*(1+O41)</f>
        <v/>
      </c>
      <c r="R41" s="6">
        <f>AVERAGE(P41,Q41)</f>
        <v/>
      </c>
      <c r="S41" s="6">
        <f>IF(B41="CERRO",S40,S40+P41)</f>
        <v/>
      </c>
      <c r="T41" s="6">
        <f>IF(B41="CERRO",T40,T40+Q41)</f>
        <v/>
      </c>
      <c r="U41" s="6">
        <f>IF(B41="CERRO",U40,U40+R41)</f>
        <v/>
      </c>
      <c r="V41" s="29" t="inlineStr">
        <is>
          <t>NO</t>
        </is>
      </c>
      <c r="W41" s="29" t="inlineStr">
        <is>
          <t>NO</t>
        </is>
      </c>
      <c r="X41" s="29" t="inlineStr">
        <is>
          <t>NO</t>
        </is>
      </c>
    </row>
    <row r="42">
      <c r="A42" s="17" t="n">
        <v>41</v>
      </c>
      <c r="B42" s="25" t="inlineStr">
        <is>
          <t>DISCUTIBLE</t>
        </is>
      </c>
      <c r="C42" s="23" t="inlineStr">
        <is>
          <t>ZBB</t>
        </is>
      </c>
      <c r="D42" s="20" t="n"/>
      <c r="E42" s="4" t="n">
        <v>62691</v>
      </c>
      <c r="F42" s="4" t="inlineStr">
        <is>
          <t>Lo de Fran</t>
        </is>
      </c>
      <c r="G42" s="4" t="inlineStr">
        <is>
          <t>SALITRE MARINO S. A.</t>
        </is>
      </c>
      <c r="H42" s="4" t="inlineStr">
        <is>
          <t>Stella Artois</t>
        </is>
      </c>
      <c r="I42" s="4" t="inlineStr">
        <is>
          <t>GASTRONOMIA</t>
        </is>
      </c>
      <c r="J42" s="21" t="n">
        <v>45536</v>
      </c>
      <c r="K42" s="21" t="n">
        <v>46266</v>
      </c>
      <c r="L42" s="22" t="n">
        <v>24</v>
      </c>
      <c r="M42" s="13" t="inlineStr">
        <is>
          <t>Renueva;</t>
        </is>
      </c>
      <c r="N42" s="6" t="n">
        <v>21000000</v>
      </c>
      <c r="O42" s="11" t="n">
        <v>0.68</v>
      </c>
      <c r="P42" s="5" t="n">
        <v>25827863.39938976</v>
      </c>
      <c r="Q42" s="6">
        <f>N42*(1+O42)</f>
        <v/>
      </c>
      <c r="R42" s="6">
        <f>AVERAGE(P42,Q42)</f>
        <v/>
      </c>
      <c r="S42" s="6">
        <f>IF(B42="CERRO",S41,S41+P42)</f>
        <v/>
      </c>
      <c r="T42" s="6">
        <f>IF(B42="CERRO",T41,T41+Q42)</f>
        <v/>
      </c>
      <c r="U42" s="6">
        <f>IF(B42="CERRO",U41,U41+R42)</f>
        <v/>
      </c>
      <c r="V42" s="29" t="inlineStr">
        <is>
          <t>NO</t>
        </is>
      </c>
      <c r="W42" s="29" t="inlineStr">
        <is>
          <t>NO</t>
        </is>
      </c>
      <c r="X42" s="29" t="inlineStr">
        <is>
          <t>NO</t>
        </is>
      </c>
    </row>
    <row r="43" ht="25" customHeight="1" s="32">
      <c r="A43" s="17" t="n">
        <v>42</v>
      </c>
      <c r="B43" s="25" t="inlineStr">
        <is>
          <t>DISCUTIBLE</t>
        </is>
      </c>
      <c r="C43" s="19" t="inlineStr">
        <is>
          <t>TS</t>
        </is>
      </c>
      <c r="D43" s="20" t="n"/>
      <c r="E43" s="4" t="n">
        <v>6290</v>
      </c>
      <c r="F43" s="4" t="inlineStr">
        <is>
          <t>El Bar</t>
        </is>
      </c>
      <c r="G43" s="4" t="inlineStr">
        <is>
          <t>MILHOUSE FUSION SRL</t>
        </is>
      </c>
      <c r="H43" s="4" t="inlineStr">
        <is>
          <t>Brahma</t>
        </is>
      </c>
      <c r="I43" s="4" t="inlineStr">
        <is>
          <t>NOCTURNIDAD/EVENTOS</t>
        </is>
      </c>
      <c r="J43" s="21" t="n">
        <v>46023</v>
      </c>
      <c r="K43" s="21" t="n">
        <v>46388</v>
      </c>
      <c r="L43" s="22" t="n">
        <v>12</v>
      </c>
      <c r="M43" s="13" t="inlineStr">
        <is>
          <t>Vence post 2026; charlar mas adelante</t>
        </is>
      </c>
      <c r="N43" s="6" t="n">
        <v>20000000</v>
      </c>
      <c r="O43" s="11" t="n">
        <v>0.25</v>
      </c>
      <c r="P43" s="5" t="n">
        <v>19197339.3426688</v>
      </c>
      <c r="Q43" s="6">
        <f>N43*(1+O43)</f>
        <v/>
      </c>
      <c r="R43" s="6">
        <f>AVERAGE(P43,Q43)</f>
        <v/>
      </c>
      <c r="S43" s="6">
        <f>IF(B43="CERRO",S42,S42+P43)</f>
        <v/>
      </c>
      <c r="T43" s="6">
        <f>IF(B43="CERRO",T42,T42+Q43)</f>
        <v/>
      </c>
      <c r="U43" s="6">
        <f>IF(B43="CERRO",U42,U42+R43)</f>
        <v/>
      </c>
      <c r="V43" s="29" t="inlineStr">
        <is>
          <t>NO</t>
        </is>
      </c>
      <c r="W43" s="29" t="inlineStr">
        <is>
          <t>NO</t>
        </is>
      </c>
      <c r="X43" s="29" t="inlineStr">
        <is>
          <t>NO</t>
        </is>
      </c>
    </row>
    <row r="44" ht="25" customHeight="1" s="32">
      <c r="A44" s="17" t="n">
        <v>43</v>
      </c>
      <c r="B44" s="25" t="inlineStr">
        <is>
          <t>DISCUTIBLE</t>
        </is>
      </c>
      <c r="C44" s="19" t="inlineStr">
        <is>
          <t>TS</t>
        </is>
      </c>
      <c r="D44" s="20" t="n"/>
      <c r="E44" s="4" t="n">
        <v>63944</v>
      </c>
      <c r="F44" s="4" t="inlineStr">
        <is>
          <t>Espacio Pueyrredón</t>
        </is>
      </c>
      <c r="G44" s="4" t="inlineStr">
        <is>
          <t>AMOR ES LA RESPUESTA S.A.</t>
        </is>
      </c>
      <c r="H44" s="4" t="inlineStr">
        <is>
          <t>Quilmes</t>
        </is>
      </c>
      <c r="I44" s="4" t="inlineStr">
        <is>
          <t>GASTRONOMIA</t>
        </is>
      </c>
      <c r="J44" s="21" t="n">
        <v>46082</v>
      </c>
      <c r="K44" s="21" t="n">
        <v>46388</v>
      </c>
      <c r="L44" s="22" t="n">
        <v>10</v>
      </c>
      <c r="M44" s="13" t="inlineStr">
        <is>
          <t>Vence post 2026; charlar mas adelante</t>
        </is>
      </c>
      <c r="N44" s="6" t="n">
        <v>17000000</v>
      </c>
      <c r="O44" s="11" t="n">
        <v>0.25</v>
      </c>
      <c r="P44" s="5" t="n">
        <v>15786080.76369682</v>
      </c>
      <c r="Q44" s="6">
        <f>N44*(1+O44)</f>
        <v/>
      </c>
      <c r="R44" s="6">
        <f>AVERAGE(P44,Q44)</f>
        <v/>
      </c>
      <c r="S44" s="6">
        <f>IF(B44="CERRO",S43,S43+P44)</f>
        <v/>
      </c>
      <c r="T44" s="6">
        <f>IF(B44="CERRO",T43,T43+Q44)</f>
        <v/>
      </c>
      <c r="U44" s="6">
        <f>IF(B44="CERRO",U43,U43+R44)</f>
        <v/>
      </c>
      <c r="V44" s="29" t="inlineStr">
        <is>
          <t>NO</t>
        </is>
      </c>
      <c r="W44" s="29" t="inlineStr">
        <is>
          <t>NO</t>
        </is>
      </c>
      <c r="X44" s="29" t="inlineStr">
        <is>
          <t>NO</t>
        </is>
      </c>
    </row>
    <row r="45" ht="25" customHeight="1" s="32">
      <c r="A45" s="17" t="n">
        <v>44</v>
      </c>
      <c r="B45" s="25" t="inlineStr">
        <is>
          <t>DISCUTIBLE</t>
        </is>
      </c>
      <c r="C45" s="19" t="inlineStr">
        <is>
          <t>TS</t>
        </is>
      </c>
      <c r="D45" s="24" t="inlineStr">
        <is>
          <t>no habia pauta cmq</t>
        </is>
      </c>
      <c r="E45" s="4" t="n">
        <v>60357</v>
      </c>
      <c r="F45" s="4" t="inlineStr">
        <is>
          <t>Honu Beach</t>
        </is>
      </c>
      <c r="G45" s="4" t="inlineStr">
        <is>
          <t>SOL SUR HOBE S.A.</t>
        </is>
      </c>
      <c r="H45" s="4" t="inlineStr">
        <is>
          <t>Corona</t>
        </is>
      </c>
      <c r="I45" s="4" t="inlineStr">
        <is>
          <t>BALNEARIOS</t>
        </is>
      </c>
      <c r="J45" s="21" t="n">
        <v>46023</v>
      </c>
      <c r="K45" s="21" t="n">
        <v>46388</v>
      </c>
      <c r="L45" s="22" t="n">
        <v>12</v>
      </c>
      <c r="M45" s="13" t="inlineStr">
        <is>
          <t>Vence post 2026; charlar mas adelante</t>
        </is>
      </c>
      <c r="N45" s="6" t="n">
        <v>15000000</v>
      </c>
      <c r="O45" s="11" t="n">
        <v>0.25</v>
      </c>
      <c r="P45" s="5" t="n">
        <v>15000000</v>
      </c>
      <c r="Q45" s="6">
        <f>N45*(1+O45)</f>
        <v/>
      </c>
      <c r="R45" s="6">
        <f>AVERAGE(P45,Q45)</f>
        <v/>
      </c>
      <c r="S45" s="6">
        <f>IF(B45="CERRO",S44,S44+P45)</f>
        <v/>
      </c>
      <c r="T45" s="6">
        <f>IF(B45="CERRO",T44,T44+Q45)</f>
        <v/>
      </c>
      <c r="U45" s="6">
        <f>IF(B45="CERRO",U44,U44+R45)</f>
        <v/>
      </c>
      <c r="V45" s="29" t="inlineStr">
        <is>
          <t>NO</t>
        </is>
      </c>
      <c r="W45" s="29" t="inlineStr">
        <is>
          <t>NO</t>
        </is>
      </c>
      <c r="X45" s="29" t="inlineStr">
        <is>
          <t>NO</t>
        </is>
      </c>
    </row>
    <row r="46" ht="25" customHeight="1" s="32">
      <c r="A46" s="17" t="n">
        <v>45</v>
      </c>
      <c r="B46" s="25" t="inlineStr">
        <is>
          <t>DISCUTIBLE</t>
        </is>
      </c>
      <c r="C46" s="23" t="inlineStr">
        <is>
          <t>ZBB</t>
        </is>
      </c>
      <c r="D46" s="20" t="n"/>
      <c r="E46" s="4" t="n">
        <v>0</v>
      </c>
      <c r="F46" s="4" t="inlineStr">
        <is>
          <t>mama Concert</t>
        </is>
      </c>
      <c r="G46" s="4" t="inlineStr">
        <is>
          <t>Pinamar S.A</t>
        </is>
      </c>
      <c r="H46" s="4" t="inlineStr">
        <is>
          <t>Corona</t>
        </is>
      </c>
      <c r="I46" s="4" t="inlineStr">
        <is>
          <t>BALNEARIOS</t>
        </is>
      </c>
      <c r="J46" s="21" t="n">
        <v>45658</v>
      </c>
      <c r="K46" s="21" t="n">
        <v>46388</v>
      </c>
      <c r="L46" s="22" t="n">
        <v>24</v>
      </c>
      <c r="M46" s="13" t="inlineStr">
        <is>
          <t>Vence post 2026; charlar mas adelante</t>
        </is>
      </c>
      <c r="N46" s="6" t="n">
        <v>15000000</v>
      </c>
      <c r="O46" s="11" t="n">
        <v>0.68</v>
      </c>
      <c r="P46" s="5" t="n">
        <v>68186531.30124861</v>
      </c>
      <c r="Q46" s="6">
        <f>N46*(1+O46)</f>
        <v/>
      </c>
      <c r="R46" s="6">
        <f>AVERAGE(P46,Q46)</f>
        <v/>
      </c>
      <c r="S46" s="6">
        <f>IF(B46="CERRO",S45,S45+P46)</f>
        <v/>
      </c>
      <c r="T46" s="6">
        <f>IF(B46="CERRO",T45,T45+Q46)</f>
        <v/>
      </c>
      <c r="U46" s="6">
        <f>IF(B46="CERRO",U45,U45+R46)</f>
        <v/>
      </c>
      <c r="V46" s="29" t="inlineStr">
        <is>
          <t>NO</t>
        </is>
      </c>
      <c r="W46" s="29" t="inlineStr">
        <is>
          <t>NO</t>
        </is>
      </c>
      <c r="X46" s="29" t="inlineStr">
        <is>
          <t>NO</t>
        </is>
      </c>
    </row>
    <row r="47" ht="25" customHeight="1" s="32">
      <c r="A47" s="17" t="n">
        <v>46</v>
      </c>
      <c r="B47" s="25" t="inlineStr">
        <is>
          <t>DISCUTIBLE</t>
        </is>
      </c>
      <c r="C47" s="23" t="inlineStr">
        <is>
          <t>ZBB</t>
        </is>
      </c>
      <c r="D47" s="20" t="n"/>
      <c r="E47" s="4" t="n">
        <v>4822</v>
      </c>
      <c r="F47" s="4" t="inlineStr">
        <is>
          <t>Mirador Tandil</t>
        </is>
      </c>
      <c r="G47" s="4" t="inlineStr">
        <is>
          <t>GASTRO LLE TANDIL S.A.S</t>
        </is>
      </c>
      <c r="H47" s="4" t="inlineStr">
        <is>
          <t>Patagonia</t>
        </is>
      </c>
      <c r="I47" s="4" t="inlineStr">
        <is>
          <t>GASTRONOMIA</t>
        </is>
      </c>
      <c r="J47" s="21" t="n">
        <v>45658</v>
      </c>
      <c r="K47" s="21" t="n">
        <v>46388</v>
      </c>
      <c r="L47" s="22" t="n">
        <v>24</v>
      </c>
      <c r="M47" s="13" t="inlineStr">
        <is>
          <t>Vence post 2026; charlar mas adelante</t>
        </is>
      </c>
      <c r="N47" s="6" t="n">
        <v>15000000</v>
      </c>
      <c r="O47" s="11" t="n">
        <v>0.68</v>
      </c>
      <c r="P47" s="5" t="n">
        <v>17046632.82531215</v>
      </c>
      <c r="Q47" s="6">
        <f>N47*(1+O47)</f>
        <v/>
      </c>
      <c r="R47" s="6">
        <f>AVERAGE(P47,Q47)</f>
        <v/>
      </c>
      <c r="S47" s="6">
        <f>IF(B47="CERRO",S46,S46+P47)</f>
        <v/>
      </c>
      <c r="T47" s="6">
        <f>IF(B47="CERRO",T46,T46+Q47)</f>
        <v/>
      </c>
      <c r="U47" s="6">
        <f>IF(B47="CERRO",U46,U46+R47)</f>
        <v/>
      </c>
      <c r="V47" s="29" t="inlineStr">
        <is>
          <t>NO</t>
        </is>
      </c>
      <c r="W47" s="29" t="inlineStr">
        <is>
          <t>NO</t>
        </is>
      </c>
      <c r="X47" s="29" t="inlineStr">
        <is>
          <t>NO</t>
        </is>
      </c>
    </row>
    <row r="48" ht="25" customHeight="1" s="32">
      <c r="A48" s="17" t="n">
        <v>47</v>
      </c>
      <c r="B48" s="25" t="inlineStr">
        <is>
          <t>DISCUTIBLE</t>
        </is>
      </c>
      <c r="C48" s="19" t="inlineStr">
        <is>
          <t>TS</t>
        </is>
      </c>
      <c r="D48" s="20" t="n"/>
      <c r="E48" s="4" t="n">
        <v>63459</v>
      </c>
      <c r="F48" s="4" t="inlineStr">
        <is>
          <t>Newbery</t>
        </is>
      </c>
      <c r="G48" s="4" t="inlineStr">
        <is>
          <t>ASOCIACION CIVIL NBRY ATHLETIC FC, C</t>
        </is>
      </c>
      <c r="H48" s="4" t="inlineStr">
        <is>
          <t>Stella Artois</t>
        </is>
      </c>
      <c r="I48" s="4" t="inlineStr">
        <is>
          <t>OTROS</t>
        </is>
      </c>
      <c r="J48" s="21" t="n">
        <v>46023</v>
      </c>
      <c r="K48" s="21" t="n">
        <v>46388</v>
      </c>
      <c r="L48" s="22" t="n">
        <v>12</v>
      </c>
      <c r="M48" s="13" t="inlineStr">
        <is>
          <t>Vence post 2026; charlar mas adelante</t>
        </is>
      </c>
      <c r="N48" s="6" t="n">
        <v>14000000</v>
      </c>
      <c r="O48" s="11" t="n">
        <v>0.25</v>
      </c>
      <c r="P48" s="5" t="n">
        <v>13438137.53986816</v>
      </c>
      <c r="Q48" s="6">
        <f>N48*(1+O48)</f>
        <v/>
      </c>
      <c r="R48" s="6">
        <f>AVERAGE(P48,Q48)</f>
        <v/>
      </c>
      <c r="S48" s="6">
        <f>IF(B48="CERRO",S47,S47+P48)</f>
        <v/>
      </c>
      <c r="T48" s="6">
        <f>IF(B48="CERRO",T47,T47+Q48)</f>
        <v/>
      </c>
      <c r="U48" s="6">
        <f>IF(B48="CERRO",U47,U47+R48)</f>
        <v/>
      </c>
      <c r="V48" s="29" t="inlineStr">
        <is>
          <t>NO</t>
        </is>
      </c>
      <c r="W48" s="29" t="inlineStr">
        <is>
          <t>NO</t>
        </is>
      </c>
      <c r="X48" s="29" t="inlineStr">
        <is>
          <t>NO</t>
        </is>
      </c>
    </row>
    <row r="49" ht="25" customHeight="1" s="32">
      <c r="A49" s="17" t="n">
        <v>48</v>
      </c>
      <c r="B49" s="25" t="inlineStr">
        <is>
          <t>DISCUTIBLE</t>
        </is>
      </c>
      <c r="C49" s="19" t="inlineStr">
        <is>
          <t>TS</t>
        </is>
      </c>
      <c r="D49" s="20" t="n"/>
      <c r="E49" s="4" t="n">
        <v>7631</v>
      </c>
      <c r="F49" s="4" t="inlineStr">
        <is>
          <t>Barra Beach</t>
        </is>
      </c>
      <c r="G49" s="4" t="inlineStr">
        <is>
          <t>Eras Comercializaciones S.R.L</t>
        </is>
      </c>
      <c r="H49" s="4" t="inlineStr">
        <is>
          <t>Corona</t>
        </is>
      </c>
      <c r="I49" s="4" t="inlineStr">
        <is>
          <t>BALNEARIOS</t>
        </is>
      </c>
      <c r="J49" s="21" t="n">
        <v>46023</v>
      </c>
      <c r="K49" s="21" t="n">
        <v>46388</v>
      </c>
      <c r="L49" s="22" t="n">
        <v>12</v>
      </c>
      <c r="M49" s="13" t="inlineStr">
        <is>
          <t>Vence post 2026; charlar mas adelante</t>
        </is>
      </c>
      <c r="N49" s="6" t="n">
        <v>12000000</v>
      </c>
      <c r="O49" s="11" t="n">
        <v>0.25</v>
      </c>
      <c r="P49" s="5" t="n">
        <v>11518403.60560128</v>
      </c>
      <c r="Q49" s="6">
        <f>N49*(1+O49)</f>
        <v/>
      </c>
      <c r="R49" s="6">
        <f>AVERAGE(P49,Q49)</f>
        <v/>
      </c>
      <c r="S49" s="6">
        <f>IF(B49="CERRO",S48,S48+P49)</f>
        <v/>
      </c>
      <c r="T49" s="6">
        <f>IF(B49="CERRO",T48,T48+Q49)</f>
        <v/>
      </c>
      <c r="U49" s="6">
        <f>IF(B49="CERRO",U48,U48+R49)</f>
        <v/>
      </c>
      <c r="V49" s="29" t="inlineStr">
        <is>
          <t>NO</t>
        </is>
      </c>
      <c r="W49" s="29" t="inlineStr">
        <is>
          <t>NO</t>
        </is>
      </c>
      <c r="X49" s="29" t="inlineStr">
        <is>
          <t>NO</t>
        </is>
      </c>
    </row>
    <row r="50" ht="25" customHeight="1" s="32">
      <c r="A50" s="17" t="n">
        <v>49</v>
      </c>
      <c r="B50" s="25" t="inlineStr">
        <is>
          <t>DISCUTIBLE</t>
        </is>
      </c>
      <c r="C50" s="19" t="inlineStr">
        <is>
          <t>TS</t>
        </is>
      </c>
      <c r="D50" s="20" t="n"/>
      <c r="E50" s="4" t="n">
        <v>5836</v>
      </c>
      <c r="F50" s="4" t="inlineStr">
        <is>
          <t>Break 197</t>
        </is>
      </c>
      <c r="G50" s="4" t="inlineStr">
        <is>
          <t>Consultora Nic S.A</t>
        </is>
      </c>
      <c r="H50" s="4" t="n">
        <v>0</v>
      </c>
      <c r="I50" s="4" t="inlineStr">
        <is>
          <t>GASTRONOMIA</t>
        </is>
      </c>
      <c r="J50" s="21" t="n">
        <v>46023</v>
      </c>
      <c r="K50" s="21" t="n">
        <v>46388</v>
      </c>
      <c r="L50" s="22" t="n">
        <v>12</v>
      </c>
      <c r="M50" s="13" t="inlineStr">
        <is>
          <t>Vence post 2026; charlar mas adelante</t>
        </is>
      </c>
      <c r="N50" s="6" t="n">
        <v>11500000</v>
      </c>
      <c r="O50" s="11" t="n">
        <v>0.25</v>
      </c>
      <c r="P50" s="5" t="n">
        <v>11038470.12203456</v>
      </c>
      <c r="Q50" s="6">
        <f>N50*(1+O50)</f>
        <v/>
      </c>
      <c r="R50" s="6">
        <f>AVERAGE(P50,Q50)</f>
        <v/>
      </c>
      <c r="S50" s="6">
        <f>IF(B50="CERRO",S49,S49+P50)</f>
        <v/>
      </c>
      <c r="T50" s="6">
        <f>IF(B50="CERRO",T49,T49+Q50)</f>
        <v/>
      </c>
      <c r="U50" s="6">
        <f>IF(B50="CERRO",U49,U49+R50)</f>
        <v/>
      </c>
      <c r="V50" s="29" t="inlineStr">
        <is>
          <t>NO</t>
        </is>
      </c>
      <c r="W50" s="29" t="inlineStr">
        <is>
          <t>NO</t>
        </is>
      </c>
      <c r="X50" s="29" t="inlineStr">
        <is>
          <t>NO</t>
        </is>
      </c>
    </row>
    <row r="51" ht="25" customHeight="1" s="32">
      <c r="A51" s="17" t="n">
        <v>50</v>
      </c>
      <c r="B51" s="25" t="inlineStr">
        <is>
          <t>DISCUTIBLE</t>
        </is>
      </c>
      <c r="C51" s="19" t="inlineStr">
        <is>
          <t>TS</t>
        </is>
      </c>
      <c r="D51" s="20" t="n"/>
      <c r="E51" s="4" t="n">
        <v>61524</v>
      </c>
      <c r="F51" s="4" t="inlineStr">
        <is>
          <t>La Reserva</t>
        </is>
      </c>
      <c r="G51" s="4" t="inlineStr">
        <is>
          <t>Ocean Blue Strategy SA</t>
        </is>
      </c>
      <c r="H51" s="4" t="inlineStr">
        <is>
          <t>Stella Artois</t>
        </is>
      </c>
      <c r="I51" s="4" t="inlineStr">
        <is>
          <t>BALNEARIOS</t>
        </is>
      </c>
      <c r="J51" s="21" t="n">
        <v>46023</v>
      </c>
      <c r="K51" s="21" t="n">
        <v>46388</v>
      </c>
      <c r="L51" s="22" t="n">
        <v>12</v>
      </c>
      <c r="M51" s="13" t="inlineStr">
        <is>
          <t>Vence post 2026; charlar mas adelante</t>
        </is>
      </c>
      <c r="N51" s="6" t="n">
        <v>10000000</v>
      </c>
      <c r="O51" s="11" t="n">
        <v>0.25</v>
      </c>
      <c r="P51" s="5" t="n">
        <v>9598669.671334401</v>
      </c>
      <c r="Q51" s="6">
        <f>N51*(1+O51)</f>
        <v/>
      </c>
      <c r="R51" s="6">
        <f>AVERAGE(P51,Q51)</f>
        <v/>
      </c>
      <c r="S51" s="6">
        <f>IF(B51="CERRO",S50,S50+P51)</f>
        <v/>
      </c>
      <c r="T51" s="6">
        <f>IF(B51="CERRO",T50,T50+Q51)</f>
        <v/>
      </c>
      <c r="U51" s="6">
        <f>IF(B51="CERRO",U50,U50+R51)</f>
        <v/>
      </c>
      <c r="V51" s="29" t="inlineStr">
        <is>
          <t>NO</t>
        </is>
      </c>
      <c r="W51" s="29" t="inlineStr">
        <is>
          <t>NO</t>
        </is>
      </c>
      <c r="X51" s="29" t="inlineStr">
        <is>
          <t>NO</t>
        </is>
      </c>
    </row>
    <row r="52" ht="25" customHeight="1" s="32">
      <c r="A52" s="17" t="n">
        <v>51</v>
      </c>
      <c r="B52" s="25" t="inlineStr">
        <is>
          <t>DISCUTIBLE</t>
        </is>
      </c>
      <c r="C52" s="23" t="inlineStr">
        <is>
          <t>ZBB</t>
        </is>
      </c>
      <c r="D52" s="20" t="n"/>
      <c r="E52" s="4" t="n">
        <v>60832</v>
      </c>
      <c r="F52" s="4" t="inlineStr">
        <is>
          <t>Pontevedra/Di Mero/Membrillo/Brasa</t>
        </is>
      </c>
      <c r="G52" s="4" t="inlineStr">
        <is>
          <t>PONTEBRAP S. A.</t>
        </is>
      </c>
      <c r="H52" s="4" t="inlineStr">
        <is>
          <t>Stella Artois</t>
        </is>
      </c>
      <c r="I52" s="4" t="inlineStr">
        <is>
          <t>GASTRONOMIA</t>
        </is>
      </c>
      <c r="J52" s="21" t="n">
        <v>45658</v>
      </c>
      <c r="K52" s="21" t="n">
        <v>46388</v>
      </c>
      <c r="L52" s="22" t="n">
        <v>24</v>
      </c>
      <c r="M52" s="13" t="inlineStr">
        <is>
          <t>Vence post 2026; charlar mas adelante</t>
        </is>
      </c>
      <c r="N52" s="6" t="n">
        <v>10000000</v>
      </c>
      <c r="O52" s="11" t="n">
        <v>0.68</v>
      </c>
      <c r="P52" s="5" t="n">
        <v>11364421.88354143</v>
      </c>
      <c r="Q52" s="6">
        <f>N52*(1+O52)</f>
        <v/>
      </c>
      <c r="R52" s="6">
        <f>AVERAGE(P52,Q52)</f>
        <v/>
      </c>
      <c r="S52" s="6">
        <f>IF(B52="CERRO",S51,S51+P52)</f>
        <v/>
      </c>
      <c r="T52" s="6">
        <f>IF(B52="CERRO",T51,T51+Q52)</f>
        <v/>
      </c>
      <c r="U52" s="6">
        <f>IF(B52="CERRO",U51,U51+R52)</f>
        <v/>
      </c>
      <c r="V52" s="29" t="inlineStr">
        <is>
          <t>NO</t>
        </is>
      </c>
      <c r="W52" s="29" t="inlineStr">
        <is>
          <t>NO</t>
        </is>
      </c>
      <c r="X52" s="29" t="inlineStr">
        <is>
          <t>NO</t>
        </is>
      </c>
    </row>
    <row r="53" ht="25" customHeight="1" s="32">
      <c r="A53" s="17" t="n">
        <v>52</v>
      </c>
      <c r="B53" s="25" t="inlineStr">
        <is>
          <t>DISCUTIBLE</t>
        </is>
      </c>
      <c r="C53" s="19" t="inlineStr">
        <is>
          <t>TS</t>
        </is>
      </c>
      <c r="D53" s="20" t="n"/>
      <c r="E53" s="4" t="n">
        <v>60553</v>
      </c>
      <c r="F53" s="4" t="inlineStr">
        <is>
          <t>Tiki Bar</t>
        </is>
      </c>
      <c r="G53" s="4" t="inlineStr">
        <is>
          <t>Merlo Matias Leandro</t>
        </is>
      </c>
      <c r="H53" s="4" t="inlineStr">
        <is>
          <t>Corona</t>
        </is>
      </c>
      <c r="I53" s="4" t="inlineStr">
        <is>
          <t>GASTRONOMIA</t>
        </is>
      </c>
      <c r="J53" s="21" t="n">
        <v>46023</v>
      </c>
      <c r="K53" s="21" t="n">
        <v>46388</v>
      </c>
      <c r="L53" s="22" t="n">
        <v>12</v>
      </c>
      <c r="M53" s="13" t="inlineStr">
        <is>
          <t>Vence post 2026; charlar mas adelante</t>
        </is>
      </c>
      <c r="N53" s="6" t="n">
        <v>8000000</v>
      </c>
      <c r="O53" s="11" t="n">
        <v>0.25</v>
      </c>
      <c r="P53" s="5" t="n">
        <v>7678935.737067521</v>
      </c>
      <c r="Q53" s="6">
        <f>N53*(1+O53)</f>
        <v/>
      </c>
      <c r="R53" s="6">
        <f>AVERAGE(P53,Q53)</f>
        <v/>
      </c>
      <c r="S53" s="6">
        <f>IF(B53="CERRO",S52,S52+P53)</f>
        <v/>
      </c>
      <c r="T53" s="6">
        <f>IF(B53="CERRO",T52,T52+Q53)</f>
        <v/>
      </c>
      <c r="U53" s="6">
        <f>IF(B53="CERRO",U52,U52+R53)</f>
        <v/>
      </c>
      <c r="V53" s="29" t="inlineStr">
        <is>
          <t>NO</t>
        </is>
      </c>
      <c r="W53" s="29" t="inlineStr">
        <is>
          <t>NO</t>
        </is>
      </c>
      <c r="X53" s="29" t="inlineStr">
        <is>
          <t>NO</t>
        </is>
      </c>
    </row>
    <row r="54" ht="25" customHeight="1" s="32">
      <c r="A54" s="17" t="n">
        <v>53</v>
      </c>
      <c r="B54" s="25" t="inlineStr">
        <is>
          <t>DISCUTIBLE</t>
        </is>
      </c>
      <c r="C54" s="19" t="inlineStr">
        <is>
          <t>TS</t>
        </is>
      </c>
      <c r="D54" s="20" t="n"/>
      <c r="E54" s="4" t="n">
        <v>2630</v>
      </c>
      <c r="F54" s="4" t="inlineStr">
        <is>
          <t>El Soleado</t>
        </is>
      </c>
      <c r="G54" s="4" t="inlineStr">
        <is>
          <t>Soleado de Cortazar M y Repetto M .S.A</t>
        </is>
      </c>
      <c r="H54" s="4" t="inlineStr">
        <is>
          <t>Stella Artois</t>
        </is>
      </c>
      <c r="I54" s="4" t="inlineStr">
        <is>
          <t>GASTRONOMIA</t>
        </is>
      </c>
      <c r="J54" s="21" t="n">
        <v>46023</v>
      </c>
      <c r="K54" s="21" t="n">
        <v>46388</v>
      </c>
      <c r="L54" s="22" t="n">
        <v>12</v>
      </c>
      <c r="M54" s="13" t="inlineStr">
        <is>
          <t>Vence post 2026; charlar mas adelante</t>
        </is>
      </c>
      <c r="N54" s="6" t="n">
        <v>7800000</v>
      </c>
      <c r="O54" s="11" t="n">
        <v>0.25</v>
      </c>
      <c r="P54" s="5" t="n">
        <v>7486962.343640833</v>
      </c>
      <c r="Q54" s="6">
        <f>N54*(1+O54)</f>
        <v/>
      </c>
      <c r="R54" s="6">
        <f>AVERAGE(P54,Q54)</f>
        <v/>
      </c>
      <c r="S54" s="6">
        <f>IF(B54="CERRO",S53,S53+P54)</f>
        <v/>
      </c>
      <c r="T54" s="6">
        <f>IF(B54="CERRO",T53,T53+Q54)</f>
        <v/>
      </c>
      <c r="U54" s="6">
        <f>IF(B54="CERRO",U53,U53+R54)</f>
        <v/>
      </c>
      <c r="V54" s="29" t="inlineStr">
        <is>
          <t>NO</t>
        </is>
      </c>
      <c r="W54" s="29" t="inlineStr">
        <is>
          <t>NO</t>
        </is>
      </c>
      <c r="X54" s="29" t="inlineStr">
        <is>
          <t>NO</t>
        </is>
      </c>
    </row>
    <row r="55" ht="25" customHeight="1" s="32">
      <c r="A55" s="17" t="n">
        <v>54</v>
      </c>
      <c r="B55" s="25" t="inlineStr">
        <is>
          <t>DISCUTIBLE</t>
        </is>
      </c>
      <c r="C55" s="19" t="inlineStr">
        <is>
          <t>TS</t>
        </is>
      </c>
      <c r="D55" s="20" t="n"/>
      <c r="E55" s="4" t="n">
        <v>61058</v>
      </c>
      <c r="F55" s="4" t="inlineStr">
        <is>
          <t>Parque Mogotes</t>
        </is>
      </c>
      <c r="G55" s="4" t="inlineStr">
        <is>
          <t>PUNTO TOKEN MDK S. A.</t>
        </is>
      </c>
      <c r="H55" s="4" t="inlineStr">
        <is>
          <t>Quilmes</t>
        </is>
      </c>
      <c r="I55" s="4" t="inlineStr">
        <is>
          <t>NOCTURNIDAD/EVENTOS</t>
        </is>
      </c>
      <c r="J55" s="21" t="n">
        <v>46082</v>
      </c>
      <c r="K55" s="21" t="n">
        <v>46388</v>
      </c>
      <c r="L55" s="22" t="n">
        <v>10</v>
      </c>
      <c r="M55" s="13" t="inlineStr">
        <is>
          <t>Vence post 2026; charlar mas adelante</t>
        </is>
      </c>
      <c r="N55" s="6" t="n">
        <v>7000000</v>
      </c>
      <c r="O55" s="11" t="n">
        <v>0.25</v>
      </c>
      <c r="P55" s="5" t="n">
        <v>6500150.902698692</v>
      </c>
      <c r="Q55" s="6">
        <f>N55*(1+O55)</f>
        <v/>
      </c>
      <c r="R55" s="6">
        <f>AVERAGE(P55,Q55)</f>
        <v/>
      </c>
      <c r="S55" s="6">
        <f>IF(B55="CERRO",S54,S54+P55)</f>
        <v/>
      </c>
      <c r="T55" s="6">
        <f>IF(B55="CERRO",T54,T54+Q55)</f>
        <v/>
      </c>
      <c r="U55" s="6">
        <f>IF(B55="CERRO",U54,U54+R55)</f>
        <v/>
      </c>
      <c r="V55" s="29" t="inlineStr">
        <is>
          <t>NO</t>
        </is>
      </c>
      <c r="W55" s="29" t="inlineStr">
        <is>
          <t>NO</t>
        </is>
      </c>
      <c r="X55" s="29" t="inlineStr">
        <is>
          <t>NO</t>
        </is>
      </c>
    </row>
    <row r="56">
      <c r="A56" s="17" t="n">
        <v>55</v>
      </c>
      <c r="B56" s="25" t="inlineStr">
        <is>
          <t>DISCUTIBLE</t>
        </is>
      </c>
      <c r="C56" s="23" t="inlineStr">
        <is>
          <t>ZBB</t>
        </is>
      </c>
      <c r="D56" s="20" t="n"/>
      <c r="E56" s="4" t="n">
        <v>62917</v>
      </c>
      <c r="F56" s="4" t="inlineStr">
        <is>
          <t>Hamburguesería Weiss</t>
        </is>
      </c>
      <c r="G56" s="4" t="inlineStr">
        <is>
          <t>Senno Gabriel</t>
        </is>
      </c>
      <c r="H56" s="4" t="inlineStr">
        <is>
          <t>Corona</t>
        </is>
      </c>
      <c r="I56" s="4" t="inlineStr">
        <is>
          <t>GASTRONOMIA</t>
        </is>
      </c>
      <c r="J56" s="21" t="n">
        <v>45717</v>
      </c>
      <c r="K56" s="21" t="n">
        <v>46357</v>
      </c>
      <c r="L56" s="22" t="n">
        <v>21</v>
      </c>
      <c r="M56" s="13" t="inlineStr">
        <is>
          <t>Pendiente de revisar con región</t>
        </is>
      </c>
      <c r="N56" s="6" t="n">
        <v>6000000</v>
      </c>
      <c r="O56" s="11" t="n">
        <v>0.68</v>
      </c>
      <c r="P56" s="5" t="n">
        <v>6346284.615436553</v>
      </c>
      <c r="Q56" s="6">
        <f>N56*(1+O56)</f>
        <v/>
      </c>
      <c r="R56" s="6">
        <f>AVERAGE(P56,Q56)</f>
        <v/>
      </c>
      <c r="S56" s="6">
        <f>IF(B56="CERRO",S55,S55+P56)</f>
        <v/>
      </c>
      <c r="T56" s="6">
        <f>IF(B56="CERRO",T55,T55+Q56)</f>
        <v/>
      </c>
      <c r="U56" s="6">
        <f>IF(B56="CERRO",U55,U55+R56)</f>
        <v/>
      </c>
      <c r="V56" s="29" t="inlineStr">
        <is>
          <t>NO</t>
        </is>
      </c>
      <c r="W56" s="29" t="inlineStr">
        <is>
          <t>NO</t>
        </is>
      </c>
      <c r="X56" s="29" t="inlineStr">
        <is>
          <t>NO</t>
        </is>
      </c>
    </row>
    <row r="57" ht="25" customHeight="1" s="32">
      <c r="A57" s="17" t="n">
        <v>56</v>
      </c>
      <c r="B57" s="25" t="inlineStr">
        <is>
          <t>DISCUTIBLE</t>
        </is>
      </c>
      <c r="C57" s="23" t="inlineStr">
        <is>
          <t>ZBB</t>
        </is>
      </c>
      <c r="D57" s="20" t="n"/>
      <c r="E57" s="4" t="n">
        <v>5726</v>
      </c>
      <c r="F57" s="4" t="inlineStr">
        <is>
          <t xml:space="preserve">El Descorche </t>
        </is>
      </c>
      <c r="G57" s="4" t="inlineStr">
        <is>
          <t>Titno Rosado y Blanco SA</t>
        </is>
      </c>
      <c r="H57" s="4" t="inlineStr">
        <is>
          <t>Patagonia</t>
        </is>
      </c>
      <c r="I57" s="4" t="inlineStr">
        <is>
          <t>GASTRONOMIA</t>
        </is>
      </c>
      <c r="J57" s="21" t="n">
        <v>45566</v>
      </c>
      <c r="K57" s="21" t="n">
        <v>46296</v>
      </c>
      <c r="L57" s="22" t="n">
        <v>24</v>
      </c>
      <c r="M57" s="13" t="inlineStr">
        <is>
          <t>Renueva sin fee; no tiene volumen significativo y no esta en LOL</t>
        </is>
      </c>
      <c r="N57" s="6" t="n">
        <v>5800000</v>
      </c>
      <c r="O57" s="11" t="n">
        <v>0.68</v>
      </c>
      <c r="P57" s="5" t="n">
        <v>6973594.073503916</v>
      </c>
      <c r="Q57" s="6">
        <f>N57*(1+O57)</f>
        <v/>
      </c>
      <c r="R57" s="6">
        <f>AVERAGE(P57,Q57)</f>
        <v/>
      </c>
      <c r="S57" s="6">
        <f>IF(B57="CERRO",S56,S56+P57)</f>
        <v/>
      </c>
      <c r="T57" s="6">
        <f>IF(B57="CERRO",T56,T56+Q57)</f>
        <v/>
      </c>
      <c r="U57" s="6">
        <f>IF(B57="CERRO",U56,U56+R57)</f>
        <v/>
      </c>
      <c r="V57" s="29" t="inlineStr">
        <is>
          <t>NO</t>
        </is>
      </c>
      <c r="W57" s="29" t="inlineStr">
        <is>
          <t>NO</t>
        </is>
      </c>
      <c r="X57" s="29" t="inlineStr">
        <is>
          <t>NO</t>
        </is>
      </c>
    </row>
    <row r="58">
      <c r="A58" s="17" t="n">
        <v>57</v>
      </c>
      <c r="B58" s="25" t="inlineStr">
        <is>
          <t>DISCUTIBLE</t>
        </is>
      </c>
      <c r="C58" s="19" t="inlineStr">
        <is>
          <t>TS</t>
        </is>
      </c>
      <c r="D58" s="20" t="n"/>
      <c r="E58" s="4" t="n">
        <v>60156</v>
      </c>
      <c r="F58" s="4" t="inlineStr">
        <is>
          <t>Baln 5,6,7 y 8 ACA</t>
        </is>
      </c>
      <c r="G58" s="4" t="inlineStr">
        <is>
          <t>AUTOMOVIL CLUB ARGENTINO</t>
        </is>
      </c>
      <c r="H58" s="4" t="inlineStr">
        <is>
          <t>Quilmes</t>
        </is>
      </c>
      <c r="I58" s="4" t="inlineStr">
        <is>
          <t>BALNEARIOS</t>
        </is>
      </c>
      <c r="J58" s="21" t="n">
        <v>45992</v>
      </c>
      <c r="K58" s="21" t="n">
        <v>46357</v>
      </c>
      <c r="L58" s="22" t="n">
        <v>12</v>
      </c>
      <c r="M58" s="13" t="inlineStr">
        <is>
          <t>No aplica es por TS</t>
        </is>
      </c>
      <c r="N58" s="6" t="n">
        <v>5200000</v>
      </c>
      <c r="O58" s="11" t="n">
        <v>0.25</v>
      </c>
      <c r="P58" s="5" t="n">
        <v>5046783.57382563</v>
      </c>
      <c r="Q58" s="6">
        <f>N58*(1+O58)</f>
        <v/>
      </c>
      <c r="R58" s="6">
        <f>AVERAGE(P58,Q58)</f>
        <v/>
      </c>
      <c r="S58" s="6">
        <f>IF(B58="CERRO",S57,S57+P58)</f>
        <v/>
      </c>
      <c r="T58" s="6">
        <f>IF(B58="CERRO",T57,T57+Q58)</f>
        <v/>
      </c>
      <c r="U58" s="6">
        <f>IF(B58="CERRO",U57,U57+R58)</f>
        <v/>
      </c>
      <c r="V58" s="29" t="inlineStr">
        <is>
          <t>NO</t>
        </is>
      </c>
      <c r="W58" s="29" t="inlineStr">
        <is>
          <t>NO</t>
        </is>
      </c>
      <c r="X58" s="29" t="inlineStr">
        <is>
          <t>NO</t>
        </is>
      </c>
    </row>
    <row r="59" ht="25" customHeight="1" s="32">
      <c r="A59" s="17" t="n">
        <v>58</v>
      </c>
      <c r="B59" s="25" t="inlineStr">
        <is>
          <t>DISCUTIBLE</t>
        </is>
      </c>
      <c r="C59" s="19" t="inlineStr">
        <is>
          <t>TS</t>
        </is>
      </c>
      <c r="D59" s="20" t="n"/>
      <c r="E59" s="4" t="n">
        <v>9237</v>
      </c>
      <c r="F59" s="4" t="inlineStr">
        <is>
          <t>Casa Oxalis</t>
        </is>
      </c>
      <c r="G59" s="4" t="inlineStr">
        <is>
          <t>Lo Coco Fernando</t>
        </is>
      </c>
      <c r="H59" s="4" t="inlineStr">
        <is>
          <t>Stella Artois</t>
        </is>
      </c>
      <c r="I59" s="4" t="inlineStr">
        <is>
          <t>GASTRONOMIA</t>
        </is>
      </c>
      <c r="J59" s="21" t="n">
        <v>46023</v>
      </c>
      <c r="K59" s="21" t="n">
        <v>46388</v>
      </c>
      <c r="L59" s="22" t="n">
        <v>12</v>
      </c>
      <c r="M59" s="13" t="inlineStr">
        <is>
          <t>Vence post 2026; charlar mas adelante</t>
        </is>
      </c>
      <c r="N59" s="6" t="n">
        <v>4500000</v>
      </c>
      <c r="O59" s="11" t="n">
        <v>0.25</v>
      </c>
      <c r="P59" s="5" t="n">
        <v>4319401.35210048</v>
      </c>
      <c r="Q59" s="6">
        <f>N59*(1+O59)</f>
        <v/>
      </c>
      <c r="R59" s="6">
        <f>AVERAGE(P59,Q59)</f>
        <v/>
      </c>
      <c r="S59" s="6">
        <f>IF(B59="CERRO",S58,S58+P59)</f>
        <v/>
      </c>
      <c r="T59" s="6">
        <f>IF(B59="CERRO",T58,T58+Q59)</f>
        <v/>
      </c>
      <c r="U59" s="6">
        <f>IF(B59="CERRO",U58,U58+R59)</f>
        <v/>
      </c>
      <c r="V59" s="29" t="inlineStr">
        <is>
          <t>NO</t>
        </is>
      </c>
      <c r="W59" s="29" t="inlineStr">
        <is>
          <t>NO</t>
        </is>
      </c>
      <c r="X59" s="29" t="inlineStr">
        <is>
          <t>NO</t>
        </is>
      </c>
    </row>
    <row r="60" ht="25" customHeight="1" s="32">
      <c r="A60" s="17" t="n">
        <v>59</v>
      </c>
      <c r="B60" s="25" t="inlineStr">
        <is>
          <t>DISCUTIBLE</t>
        </is>
      </c>
      <c r="C60" s="19" t="inlineStr">
        <is>
          <t>TS</t>
        </is>
      </c>
      <c r="D60" s="20" t="n"/>
      <c r="E60" s="4" t="n">
        <v>3961</v>
      </c>
      <c r="F60" s="4" t="inlineStr">
        <is>
          <t>Celina</t>
        </is>
      </c>
      <c r="G60" s="4" t="inlineStr">
        <is>
          <t>Establecimiento Ravasale S.R.L</t>
        </is>
      </c>
      <c r="H60" s="4" t="inlineStr">
        <is>
          <t>Corona</t>
        </is>
      </c>
      <c r="I60" s="4" t="inlineStr">
        <is>
          <t>BALNEARIOS</t>
        </is>
      </c>
      <c r="J60" s="21" t="n">
        <v>46023</v>
      </c>
      <c r="K60" s="21" t="n">
        <v>46388</v>
      </c>
      <c r="L60" s="22" t="n">
        <v>12</v>
      </c>
      <c r="M60" s="13" t="inlineStr">
        <is>
          <t>Vence post 2026; charlar mas adelante</t>
        </is>
      </c>
      <c r="N60" s="6" t="n">
        <v>4500000</v>
      </c>
      <c r="O60" s="11" t="n">
        <v>0.25</v>
      </c>
      <c r="P60" s="5" t="n">
        <v>4319401.35210048</v>
      </c>
      <c r="Q60" s="6">
        <f>N60*(1+O60)</f>
        <v/>
      </c>
      <c r="R60" s="6">
        <f>AVERAGE(P60,Q60)</f>
        <v/>
      </c>
      <c r="S60" s="6">
        <f>IF(B60="CERRO",S59,S59+P60)</f>
        <v/>
      </c>
      <c r="T60" s="6">
        <f>IF(B60="CERRO",T59,T59+Q60)</f>
        <v/>
      </c>
      <c r="U60" s="6">
        <f>IF(B60="CERRO",U59,U59+R60)</f>
        <v/>
      </c>
      <c r="V60" s="29" t="inlineStr">
        <is>
          <t>NO</t>
        </is>
      </c>
      <c r="W60" s="29" t="inlineStr">
        <is>
          <t>NO</t>
        </is>
      </c>
      <c r="X60" s="29" t="inlineStr">
        <is>
          <t>NO</t>
        </is>
      </c>
    </row>
    <row r="61">
      <c r="A61" s="17" t="n">
        <v>60</v>
      </c>
      <c r="B61" s="25" t="inlineStr">
        <is>
          <t>DISCUTIBLE</t>
        </is>
      </c>
      <c r="C61" s="23" t="inlineStr">
        <is>
          <t>ZBB</t>
        </is>
      </c>
      <c r="D61" s="20" t="n"/>
      <c r="E61" s="4" t="n">
        <v>61357</v>
      </c>
      <c r="F61" s="4" t="inlineStr">
        <is>
          <t>Alamacén de carnes</t>
        </is>
      </c>
      <c r="G61" s="4" t="inlineStr">
        <is>
          <t>MARTIRE MARCOS EMANUEL</t>
        </is>
      </c>
      <c r="H61" s="4" t="inlineStr">
        <is>
          <t>Stella Artois</t>
        </is>
      </c>
      <c r="I61" s="4" t="inlineStr">
        <is>
          <t>GASTRONOMIA</t>
        </is>
      </c>
      <c r="J61" s="21" t="n">
        <v>45962</v>
      </c>
      <c r="K61" s="21" t="n">
        <v>46327</v>
      </c>
      <c r="L61" s="22" t="n">
        <v>12</v>
      </c>
      <c r="M61" s="13" t="inlineStr">
        <is>
          <t>Pendiente de revisar con región</t>
        </is>
      </c>
      <c r="N61" s="6" t="n">
        <v>3000000</v>
      </c>
      <c r="O61" s="11" t="n">
        <v>0.25</v>
      </c>
      <c r="P61" s="5" t="n">
        <v>2943966.630667515</v>
      </c>
      <c r="Q61" s="6">
        <f>N61*(1+O61)</f>
        <v/>
      </c>
      <c r="R61" s="6">
        <f>AVERAGE(P61,Q61)</f>
        <v/>
      </c>
      <c r="S61" s="6">
        <f>IF(B61="CERRO",S60,S60+P61)</f>
        <v/>
      </c>
      <c r="T61" s="6">
        <f>IF(B61="CERRO",T60,T60+Q61)</f>
        <v/>
      </c>
      <c r="U61" s="6">
        <f>IF(B61="CERRO",U60,U60+R61)</f>
        <v/>
      </c>
      <c r="V61" s="29" t="inlineStr">
        <is>
          <t>NO</t>
        </is>
      </c>
      <c r="W61" s="29" t="inlineStr">
        <is>
          <t>NO</t>
        </is>
      </c>
      <c r="X61" s="29" t="inlineStr">
        <is>
          <t>NO</t>
        </is>
      </c>
    </row>
    <row r="62" ht="25" customHeight="1" s="32">
      <c r="A62" s="17" t="n">
        <v>61</v>
      </c>
      <c r="B62" s="25" t="inlineStr">
        <is>
          <t>DISCUTIBLE</t>
        </is>
      </c>
      <c r="C62" s="19" t="inlineStr">
        <is>
          <t>TS</t>
        </is>
      </c>
      <c r="D62" s="20" t="n"/>
      <c r="E62" s="4" t="n">
        <v>60927</v>
      </c>
      <c r="F62" s="4" t="inlineStr">
        <is>
          <t xml:space="preserve">Playas El Balcón </t>
        </is>
      </c>
      <c r="G62" s="4" t="inlineStr">
        <is>
          <t>Maktub SRL</t>
        </is>
      </c>
      <c r="H62" s="4" t="inlineStr">
        <is>
          <t>Stella Artois</t>
        </is>
      </c>
      <c r="I62" s="4" t="inlineStr">
        <is>
          <t>BALNEARIOS</t>
        </is>
      </c>
      <c r="J62" s="21" t="n">
        <v>46023</v>
      </c>
      <c r="K62" s="21" t="n">
        <v>46388</v>
      </c>
      <c r="L62" s="22" t="n">
        <v>12</v>
      </c>
      <c r="M62" s="13" t="inlineStr">
        <is>
          <t>Vence post 2026; charlar mas adelante</t>
        </is>
      </c>
      <c r="N62" s="6" t="n">
        <v>3000000</v>
      </c>
      <c r="O62" s="11" t="n">
        <v>0.25</v>
      </c>
      <c r="P62" s="5" t="n">
        <v>2879600.90140032</v>
      </c>
      <c r="Q62" s="6">
        <f>N62*(1+O62)</f>
        <v/>
      </c>
      <c r="R62" s="6">
        <f>AVERAGE(P62,Q62)</f>
        <v/>
      </c>
      <c r="S62" s="6">
        <f>IF(B62="CERRO",S61,S61+P62)</f>
        <v/>
      </c>
      <c r="T62" s="6">
        <f>IF(B62="CERRO",T61,T61+Q62)</f>
        <v/>
      </c>
      <c r="U62" s="6">
        <f>IF(B62="CERRO",U61,U61+R62)</f>
        <v/>
      </c>
      <c r="V62" s="29" t="inlineStr">
        <is>
          <t>NO</t>
        </is>
      </c>
      <c r="W62" s="29" t="inlineStr">
        <is>
          <t>NO</t>
        </is>
      </c>
      <c r="X62" s="29" t="inlineStr">
        <is>
          <t>NO</t>
        </is>
      </c>
    </row>
    <row r="63">
      <c r="A63" s="17" t="n">
        <v>62</v>
      </c>
      <c r="B63" s="25" t="inlineStr">
        <is>
          <t>DISCUTIBLE</t>
        </is>
      </c>
      <c r="C63" s="19" t="inlineStr">
        <is>
          <t>TS</t>
        </is>
      </c>
      <c r="D63" s="20" t="n"/>
      <c r="E63" s="4" t="n">
        <v>61514</v>
      </c>
      <c r="F63" s="4" t="inlineStr">
        <is>
          <t xml:space="preserve">Baln 17 y 18 Princesa </t>
        </is>
      </c>
      <c r="G63" s="4" t="inlineStr">
        <is>
          <t>KOHOUTEK SRL</t>
        </is>
      </c>
      <c r="H63" s="4" t="inlineStr">
        <is>
          <t>Quilmes</t>
        </is>
      </c>
      <c r="I63" s="4" t="inlineStr">
        <is>
          <t>BALNEARIOS</t>
        </is>
      </c>
      <c r="J63" s="21" t="n">
        <v>45992</v>
      </c>
      <c r="K63" s="21" t="n">
        <v>46357</v>
      </c>
      <c r="L63" s="22" t="n">
        <v>12</v>
      </c>
      <c r="M63" s="13" t="inlineStr">
        <is>
          <t>No aplica es por TS</t>
        </is>
      </c>
      <c r="N63" s="6" t="n">
        <v>2600000</v>
      </c>
      <c r="O63" s="11" t="n">
        <v>0.25</v>
      </c>
      <c r="P63" s="5" t="n">
        <v>2523391.786912815</v>
      </c>
      <c r="Q63" s="6">
        <f>N63*(1+O63)</f>
        <v/>
      </c>
      <c r="R63" s="6">
        <f>AVERAGE(P63,Q63)</f>
        <v/>
      </c>
      <c r="S63" s="6">
        <f>IF(B63="CERRO",S62,S62+P63)</f>
        <v/>
      </c>
      <c r="T63" s="6">
        <f>IF(B63="CERRO",T62,T62+Q63)</f>
        <v/>
      </c>
      <c r="U63" s="6">
        <f>IF(B63="CERRO",U62,U62+R63)</f>
        <v/>
      </c>
      <c r="V63" s="29" t="inlineStr">
        <is>
          <t>NO</t>
        </is>
      </c>
      <c r="W63" s="29" t="inlineStr">
        <is>
          <t>NO</t>
        </is>
      </c>
      <c r="X63" s="29" t="inlineStr">
        <is>
          <t>NO</t>
        </is>
      </c>
    </row>
    <row r="64">
      <c r="A64" s="17" t="n">
        <v>63</v>
      </c>
      <c r="B64" s="25" t="inlineStr">
        <is>
          <t>DISCUTIBLE</t>
        </is>
      </c>
      <c r="C64" s="19" t="inlineStr">
        <is>
          <t>TS</t>
        </is>
      </c>
      <c r="D64" s="20" t="n"/>
      <c r="E64" s="4" t="n">
        <v>61583</v>
      </c>
      <c r="F64" s="4" t="inlineStr">
        <is>
          <t>Baln 3 y 4 Francisco</t>
        </is>
      </c>
      <c r="G64" s="4" t="inlineStr">
        <is>
          <t>Beat West SA</t>
        </is>
      </c>
      <c r="H64" s="4" t="inlineStr">
        <is>
          <t>Quilmes</t>
        </is>
      </c>
      <c r="I64" s="4" t="inlineStr">
        <is>
          <t>BALNEARIOS</t>
        </is>
      </c>
      <c r="J64" s="21" t="n">
        <v>45992</v>
      </c>
      <c r="K64" s="21" t="n">
        <v>46357</v>
      </c>
      <c r="L64" s="22" t="n">
        <v>12</v>
      </c>
      <c r="M64" s="13" t="inlineStr">
        <is>
          <t>No aplica es por TS</t>
        </is>
      </c>
      <c r="N64" s="6" t="n">
        <v>2600000</v>
      </c>
      <c r="O64" s="11" t="n">
        <v>0.25</v>
      </c>
      <c r="P64" s="5" t="n">
        <v>2523391.786912815</v>
      </c>
      <c r="Q64" s="6">
        <f>N64*(1+O64)</f>
        <v/>
      </c>
      <c r="R64" s="6">
        <f>AVERAGE(P64,Q64)</f>
        <v/>
      </c>
      <c r="S64" s="6">
        <f>IF(B64="CERRO",S63,S63+P64)</f>
        <v/>
      </c>
      <c r="T64" s="6">
        <f>IF(B64="CERRO",T63,T63+Q64)</f>
        <v/>
      </c>
      <c r="U64" s="6">
        <f>IF(B64="CERRO",U63,U63+R64)</f>
        <v/>
      </c>
      <c r="V64" s="29" t="inlineStr">
        <is>
          <t>NO</t>
        </is>
      </c>
      <c r="W64" s="29" t="inlineStr">
        <is>
          <t>NO</t>
        </is>
      </c>
      <c r="X64" s="29" t="inlineStr">
        <is>
          <t>NO</t>
        </is>
      </c>
    </row>
    <row r="65">
      <c r="A65" s="17" t="n">
        <v>64</v>
      </c>
      <c r="B65" s="25" t="inlineStr">
        <is>
          <t>DISCUTIBLE</t>
        </is>
      </c>
      <c r="C65" s="19" t="inlineStr">
        <is>
          <t>TS</t>
        </is>
      </c>
      <c r="D65" s="20" t="n"/>
      <c r="E65" s="4" t="n">
        <v>60154</v>
      </c>
      <c r="F65" s="4" t="inlineStr">
        <is>
          <t>Baln 9 y 10 El Carmen</t>
        </is>
      </c>
      <c r="G65" s="4" t="inlineStr">
        <is>
          <t>Mar Caribe SA</t>
        </is>
      </c>
      <c r="H65" s="4" t="inlineStr">
        <is>
          <t>Quilmes</t>
        </is>
      </c>
      <c r="I65" s="4" t="inlineStr">
        <is>
          <t>BALNEARIOS</t>
        </is>
      </c>
      <c r="J65" s="21" t="n">
        <v>45992</v>
      </c>
      <c r="K65" s="21" t="n">
        <v>46357</v>
      </c>
      <c r="L65" s="22" t="n">
        <v>12</v>
      </c>
      <c r="M65" s="13" t="inlineStr">
        <is>
          <t>No aplica es por TS</t>
        </is>
      </c>
      <c r="N65" s="6" t="n">
        <v>2600000</v>
      </c>
      <c r="O65" s="11" t="n">
        <v>0.25</v>
      </c>
      <c r="P65" s="5" t="n">
        <v>2523391.786912815</v>
      </c>
      <c r="Q65" s="6">
        <f>N65*(1+O65)</f>
        <v/>
      </c>
      <c r="R65" s="6">
        <f>AVERAGE(P65,Q65)</f>
        <v/>
      </c>
      <c r="S65" s="6">
        <f>IF(B65="CERRO",S64,S64+P65)</f>
        <v/>
      </c>
      <c r="T65" s="6">
        <f>IF(B65="CERRO",T64,T64+Q65)</f>
        <v/>
      </c>
      <c r="U65" s="6">
        <f>IF(B65="CERRO",U64,U64+R65)</f>
        <v/>
      </c>
      <c r="V65" s="29" t="inlineStr">
        <is>
          <t>NO</t>
        </is>
      </c>
      <c r="W65" s="29" t="inlineStr">
        <is>
          <t>NO</t>
        </is>
      </c>
      <c r="X65" s="29" t="inlineStr">
        <is>
          <t>NO</t>
        </is>
      </c>
    </row>
    <row r="66">
      <c r="A66" s="17" t="n">
        <v>65</v>
      </c>
      <c r="B66" s="25" t="inlineStr">
        <is>
          <t>DISCUTIBLE</t>
        </is>
      </c>
      <c r="C66" s="19" t="inlineStr">
        <is>
          <t>TS</t>
        </is>
      </c>
      <c r="D66" s="20" t="n"/>
      <c r="E66" s="4" t="n">
        <v>61494</v>
      </c>
      <c r="F66" s="4" t="inlineStr">
        <is>
          <t>Balneario 21 y 24 Atlantis</t>
        </is>
      </c>
      <c r="G66" s="4" t="inlineStr">
        <is>
          <t>BALNEARIO ATLANTIS 21 S R L</t>
        </is>
      </c>
      <c r="H66" s="4" t="inlineStr">
        <is>
          <t>Quilmes</t>
        </is>
      </c>
      <c r="I66" s="4" t="inlineStr">
        <is>
          <t>BALNEARIOS</t>
        </is>
      </c>
      <c r="J66" s="21" t="n">
        <v>45992</v>
      </c>
      <c r="K66" s="21" t="n">
        <v>46357</v>
      </c>
      <c r="L66" s="22" t="n">
        <v>12</v>
      </c>
      <c r="M66" s="13" t="inlineStr">
        <is>
          <t>No aplica es por TS</t>
        </is>
      </c>
      <c r="N66" s="6" t="n">
        <v>2600000</v>
      </c>
      <c r="O66" s="11" t="n">
        <v>0.25</v>
      </c>
      <c r="P66" s="5" t="n">
        <v>2523391.786912815</v>
      </c>
      <c r="Q66" s="6">
        <f>N66*(1+O66)</f>
        <v/>
      </c>
      <c r="R66" s="6">
        <f>AVERAGE(P66,Q66)</f>
        <v/>
      </c>
      <c r="S66" s="6">
        <f>IF(B66="CERRO",S65,S65+P66)</f>
        <v/>
      </c>
      <c r="T66" s="6">
        <f>IF(B66="CERRO",T65,T65+Q66)</f>
        <v/>
      </c>
      <c r="U66" s="6">
        <f>IF(B66="CERRO",U65,U65+R66)</f>
        <v/>
      </c>
      <c r="V66" s="29" t="inlineStr">
        <is>
          <t>NO</t>
        </is>
      </c>
      <c r="W66" s="29" t="inlineStr">
        <is>
          <t>NO</t>
        </is>
      </c>
      <c r="X66" s="29" t="inlineStr">
        <is>
          <t>NO</t>
        </is>
      </c>
    </row>
    <row r="67">
      <c r="A67" s="17" t="n">
        <v>66</v>
      </c>
      <c r="B67" s="25" t="inlineStr">
        <is>
          <t>DISCUTIBLE</t>
        </is>
      </c>
      <c r="C67" s="19" t="inlineStr">
        <is>
          <t>TS</t>
        </is>
      </c>
      <c r="D67" s="20" t="n"/>
      <c r="E67" s="4" t="n">
        <v>60158</v>
      </c>
      <c r="F67" s="4" t="inlineStr">
        <is>
          <t>Baln 1 Punta Mogotes</t>
        </is>
      </c>
      <c r="G67" s="4" t="inlineStr">
        <is>
          <t>PFD producciones y eventos S.A</t>
        </is>
      </c>
      <c r="H67" s="4" t="inlineStr">
        <is>
          <t>Quilmes</t>
        </is>
      </c>
      <c r="I67" s="4" t="inlineStr">
        <is>
          <t>BALNEARIOS</t>
        </is>
      </c>
      <c r="J67" s="21" t="n">
        <v>45992</v>
      </c>
      <c r="K67" s="21" t="n">
        <v>46357</v>
      </c>
      <c r="L67" s="22" t="n">
        <v>12</v>
      </c>
      <c r="M67" s="13" t="inlineStr">
        <is>
          <t>No aplica es por TS</t>
        </is>
      </c>
      <c r="N67" s="6" t="n">
        <v>1300000</v>
      </c>
      <c r="O67" s="11" t="n">
        <v>0.25</v>
      </c>
      <c r="P67" s="5" t="n">
        <v>1261695.893456408</v>
      </c>
      <c r="Q67" s="6">
        <f>N67*(1+O67)</f>
        <v/>
      </c>
      <c r="R67" s="6">
        <f>AVERAGE(P67,Q67)</f>
        <v/>
      </c>
      <c r="S67" s="6">
        <f>IF(B67="CERRO",S66,S66+P67)</f>
        <v/>
      </c>
      <c r="T67" s="6">
        <f>IF(B67="CERRO",T66,T66+Q67)</f>
        <v/>
      </c>
      <c r="U67" s="6">
        <f>IF(B67="CERRO",U66,U66+R67)</f>
        <v/>
      </c>
      <c r="V67" s="29" t="inlineStr">
        <is>
          <t>NO</t>
        </is>
      </c>
      <c r="W67" s="29" t="inlineStr">
        <is>
          <t>NO</t>
        </is>
      </c>
      <c r="X67" s="29" t="inlineStr">
        <is>
          <t>NO</t>
        </is>
      </c>
    </row>
    <row r="68">
      <c r="A68" s="17" t="n">
        <v>67</v>
      </c>
      <c r="B68" s="25" t="inlineStr">
        <is>
          <t>DISCUTIBLE</t>
        </is>
      </c>
      <c r="C68" s="19" t="inlineStr">
        <is>
          <t>TS</t>
        </is>
      </c>
      <c r="D68" s="20" t="n"/>
      <c r="E68" s="4" t="n">
        <v>60818</v>
      </c>
      <c r="F68" s="4" t="inlineStr">
        <is>
          <t xml:space="preserve">Baln 11 Ulises </t>
        </is>
      </c>
      <c r="G68" s="4" t="inlineStr">
        <is>
          <t>Conatus SA</t>
        </is>
      </c>
      <c r="H68" s="4" t="inlineStr">
        <is>
          <t>Quilmes</t>
        </is>
      </c>
      <c r="I68" s="4" t="inlineStr">
        <is>
          <t>BALNEARIOS</t>
        </is>
      </c>
      <c r="J68" s="21" t="n">
        <v>45992</v>
      </c>
      <c r="K68" s="21" t="n">
        <v>46357</v>
      </c>
      <c r="L68" s="22" t="n">
        <v>12</v>
      </c>
      <c r="M68" s="13" t="inlineStr">
        <is>
          <t>No aplica es por TS</t>
        </is>
      </c>
      <c r="N68" s="6" t="n">
        <v>1300000</v>
      </c>
      <c r="O68" s="11" t="n">
        <v>0.25</v>
      </c>
      <c r="P68" s="5" t="n">
        <v>1261695.893456408</v>
      </c>
      <c r="Q68" s="6">
        <f>N68*(1+O68)</f>
        <v/>
      </c>
      <c r="R68" s="6">
        <f>AVERAGE(P68,Q68)</f>
        <v/>
      </c>
      <c r="S68" s="6">
        <f>IF(B68="CERRO",S67,S67+P68)</f>
        <v/>
      </c>
      <c r="T68" s="6">
        <f>IF(B68="CERRO",T67,T67+Q68)</f>
        <v/>
      </c>
      <c r="U68" s="6">
        <f>IF(B68="CERRO",U67,U67+R68)</f>
        <v/>
      </c>
      <c r="V68" s="29" t="inlineStr">
        <is>
          <t>NO</t>
        </is>
      </c>
      <c r="W68" s="29" t="inlineStr">
        <is>
          <t>NO</t>
        </is>
      </c>
      <c r="X68" s="29" t="inlineStr">
        <is>
          <t>NO</t>
        </is>
      </c>
    </row>
    <row r="69">
      <c r="A69" s="17" t="n">
        <v>68</v>
      </c>
      <c r="B69" s="25" t="inlineStr">
        <is>
          <t>DISCUTIBLE</t>
        </is>
      </c>
      <c r="C69" s="19" t="inlineStr">
        <is>
          <t>TS</t>
        </is>
      </c>
      <c r="D69" s="20" t="n"/>
      <c r="E69" s="4" t="n">
        <v>60297</v>
      </c>
      <c r="F69" s="4" t="inlineStr">
        <is>
          <t>Baln 14 Uthgra</t>
        </is>
      </c>
      <c r="G69" s="4" t="inlineStr">
        <is>
          <t>UTHGRA</t>
        </is>
      </c>
      <c r="H69" s="4" t="inlineStr">
        <is>
          <t>Quilmes</t>
        </is>
      </c>
      <c r="I69" s="4" t="inlineStr">
        <is>
          <t>BALNEARIOS</t>
        </is>
      </c>
      <c r="J69" s="21" t="n">
        <v>45992</v>
      </c>
      <c r="K69" s="21" t="n">
        <v>46357</v>
      </c>
      <c r="L69" s="22" t="n">
        <v>12</v>
      </c>
      <c r="M69" s="13" t="inlineStr">
        <is>
          <t>No aplica es por TS</t>
        </is>
      </c>
      <c r="N69" s="6" t="n">
        <v>1300000</v>
      </c>
      <c r="O69" s="11" t="n">
        <v>0.25</v>
      </c>
      <c r="P69" s="5" t="n">
        <v>1261695.893456408</v>
      </c>
      <c r="Q69" s="6">
        <f>N69*(1+O69)</f>
        <v/>
      </c>
      <c r="R69" s="6">
        <f>AVERAGE(P69,Q69)</f>
        <v/>
      </c>
      <c r="S69" s="6">
        <f>IF(B69="CERRO",S68,S68+P69)</f>
        <v/>
      </c>
      <c r="T69" s="6">
        <f>IF(B69="CERRO",T68,T68+Q69)</f>
        <v/>
      </c>
      <c r="U69" s="6">
        <f>IF(B69="CERRO",U68,U68+R69)</f>
        <v/>
      </c>
      <c r="V69" s="29" t="inlineStr">
        <is>
          <t>NO</t>
        </is>
      </c>
      <c r="W69" s="29" t="inlineStr">
        <is>
          <t>NO</t>
        </is>
      </c>
      <c r="X69" s="29" t="inlineStr">
        <is>
          <t>NO</t>
        </is>
      </c>
    </row>
    <row r="70">
      <c r="A70" s="17" t="n">
        <v>69</v>
      </c>
      <c r="B70" s="25" t="inlineStr">
        <is>
          <t>DISCUTIBLE</t>
        </is>
      </c>
      <c r="C70" s="19" t="inlineStr">
        <is>
          <t>TS</t>
        </is>
      </c>
      <c r="D70" s="20" t="n"/>
      <c r="E70" s="4" t="n">
        <v>60160</v>
      </c>
      <c r="F70" s="4" t="inlineStr">
        <is>
          <t xml:space="preserve">Baln 15 Apolo </t>
        </is>
      </c>
      <c r="G70" s="4" t="inlineStr">
        <is>
          <t>Pamancas SA</t>
        </is>
      </c>
      <c r="H70" s="4" t="inlineStr">
        <is>
          <t>Quilmes</t>
        </is>
      </c>
      <c r="I70" s="4" t="inlineStr">
        <is>
          <t>BALNEARIOS</t>
        </is>
      </c>
      <c r="J70" s="21" t="n">
        <v>45992</v>
      </c>
      <c r="K70" s="21" t="n">
        <v>46357</v>
      </c>
      <c r="L70" s="22" t="n">
        <v>12</v>
      </c>
      <c r="M70" s="13" t="inlineStr">
        <is>
          <t>No aplica es por TS</t>
        </is>
      </c>
      <c r="N70" s="6" t="n">
        <v>1300000</v>
      </c>
      <c r="O70" s="11" t="n">
        <v>0.25</v>
      </c>
      <c r="P70" s="5" t="n">
        <v>1261695.893456408</v>
      </c>
      <c r="Q70" s="6">
        <f>N70*(1+O70)</f>
        <v/>
      </c>
      <c r="R70" s="6">
        <f>AVERAGE(P70,Q70)</f>
        <v/>
      </c>
      <c r="S70" s="6">
        <f>IF(B70="CERRO",S69,S69+P70)</f>
        <v/>
      </c>
      <c r="T70" s="6">
        <f>IF(B70="CERRO",T69,T69+Q70)</f>
        <v/>
      </c>
      <c r="U70" s="6">
        <f>IF(B70="CERRO",U69,U69+R70)</f>
        <v/>
      </c>
      <c r="V70" s="29" t="inlineStr">
        <is>
          <t>NO</t>
        </is>
      </c>
      <c r="W70" s="29" t="inlineStr">
        <is>
          <t>NO</t>
        </is>
      </c>
      <c r="X70" s="29" t="inlineStr">
        <is>
          <t>NO</t>
        </is>
      </c>
    </row>
    <row r="71">
      <c r="A71" s="17" t="n">
        <v>70</v>
      </c>
      <c r="B71" s="25" t="inlineStr">
        <is>
          <t>DISCUTIBLE</t>
        </is>
      </c>
      <c r="C71" s="19" t="inlineStr">
        <is>
          <t>TS</t>
        </is>
      </c>
      <c r="D71" s="20" t="n"/>
      <c r="E71" s="4" t="n">
        <v>60153</v>
      </c>
      <c r="F71" s="4" t="inlineStr">
        <is>
          <t>Baln 16 Hawai</t>
        </is>
      </c>
      <c r="G71" s="4" t="inlineStr">
        <is>
          <t>Hawai SA</t>
        </is>
      </c>
      <c r="H71" s="4" t="inlineStr">
        <is>
          <t>Quilmes</t>
        </is>
      </c>
      <c r="I71" s="4" t="inlineStr">
        <is>
          <t>BALNEARIOS</t>
        </is>
      </c>
      <c r="J71" s="21" t="n">
        <v>45992</v>
      </c>
      <c r="K71" s="21" t="n">
        <v>46357</v>
      </c>
      <c r="L71" s="22" t="n">
        <v>12</v>
      </c>
      <c r="M71" s="13" t="inlineStr">
        <is>
          <t>No aplica es por TS</t>
        </is>
      </c>
      <c r="N71" s="6" t="n">
        <v>1300000</v>
      </c>
      <c r="O71" s="11" t="n">
        <v>0.25</v>
      </c>
      <c r="P71" s="5" t="n">
        <v>1261695.893456408</v>
      </c>
      <c r="Q71" s="6">
        <f>N71*(1+O71)</f>
        <v/>
      </c>
      <c r="R71" s="6">
        <f>AVERAGE(P71,Q71)</f>
        <v/>
      </c>
      <c r="S71" s="6">
        <f>IF(B71="CERRO",S70,S70+P71)</f>
        <v/>
      </c>
      <c r="T71" s="6">
        <f>IF(B71="CERRO",T70,T70+Q71)</f>
        <v/>
      </c>
      <c r="U71" s="6">
        <f>IF(B71="CERRO",U70,U70+R71)</f>
        <v/>
      </c>
      <c r="V71" s="29" t="inlineStr">
        <is>
          <t>NO</t>
        </is>
      </c>
      <c r="W71" s="29" t="inlineStr">
        <is>
          <t>NO</t>
        </is>
      </c>
      <c r="X71" s="29" t="inlineStr">
        <is>
          <t>NO</t>
        </is>
      </c>
    </row>
    <row r="72">
      <c r="A72" s="17" t="n">
        <v>71</v>
      </c>
      <c r="B72" s="25" t="inlineStr">
        <is>
          <t>DISCUTIBLE</t>
        </is>
      </c>
      <c r="C72" s="19" t="inlineStr">
        <is>
          <t>TS</t>
        </is>
      </c>
      <c r="D72" s="20" t="n"/>
      <c r="E72" s="4" t="n">
        <v>60155</v>
      </c>
      <c r="F72" s="4" t="inlineStr">
        <is>
          <t>Baln 19 Mar y Tenis</t>
        </is>
      </c>
      <c r="G72" s="4" t="inlineStr">
        <is>
          <t>Mar y Tennis SA</t>
        </is>
      </c>
      <c r="H72" s="4" t="inlineStr">
        <is>
          <t>Quilmes</t>
        </is>
      </c>
      <c r="I72" s="4" t="inlineStr">
        <is>
          <t>BALNEARIOS</t>
        </is>
      </c>
      <c r="J72" s="21" t="n">
        <v>45992</v>
      </c>
      <c r="K72" s="21" t="n">
        <v>46357</v>
      </c>
      <c r="L72" s="22" t="n">
        <v>12</v>
      </c>
      <c r="M72" s="13" t="inlineStr">
        <is>
          <t>No aplica es por TS</t>
        </is>
      </c>
      <c r="N72" s="6" t="n">
        <v>1300000</v>
      </c>
      <c r="O72" s="11" t="n">
        <v>0.25</v>
      </c>
      <c r="P72" s="5" t="n">
        <v>1261695.893456408</v>
      </c>
      <c r="Q72" s="6">
        <f>N72*(1+O72)</f>
        <v/>
      </c>
      <c r="R72" s="6">
        <f>AVERAGE(P72,Q72)</f>
        <v/>
      </c>
      <c r="S72" s="6">
        <f>IF(B72="CERRO",S71,S71+P72)</f>
        <v/>
      </c>
      <c r="T72" s="6">
        <f>IF(B72="CERRO",T71,T71+Q72)</f>
        <v/>
      </c>
      <c r="U72" s="6">
        <f>IF(B72="CERRO",U71,U71+R72)</f>
        <v/>
      </c>
      <c r="V72" s="29" t="inlineStr">
        <is>
          <t>NO</t>
        </is>
      </c>
      <c r="W72" s="29" t="inlineStr">
        <is>
          <t>NO</t>
        </is>
      </c>
      <c r="X72" s="29" t="inlineStr">
        <is>
          <t>NO</t>
        </is>
      </c>
    </row>
    <row r="73">
      <c r="A73" s="17" t="n">
        <v>72</v>
      </c>
      <c r="B73" s="25" t="inlineStr">
        <is>
          <t>DISCUTIBLE</t>
        </is>
      </c>
      <c r="C73" s="19" t="inlineStr">
        <is>
          <t>TS</t>
        </is>
      </c>
      <c r="D73" s="20" t="n"/>
      <c r="E73" s="4" t="n">
        <v>61513</v>
      </c>
      <c r="F73" s="4" t="inlineStr">
        <is>
          <t xml:space="preserve">Baln 20 Meditarreo </t>
        </is>
      </c>
      <c r="G73" s="4" t="inlineStr">
        <is>
          <t>Macedonia SRL</t>
        </is>
      </c>
      <c r="H73" s="4" t="inlineStr">
        <is>
          <t>Quilmes</t>
        </is>
      </c>
      <c r="I73" s="4" t="inlineStr">
        <is>
          <t>BALNEARIOS</t>
        </is>
      </c>
      <c r="J73" s="21" t="n">
        <v>45992</v>
      </c>
      <c r="K73" s="21" t="n">
        <v>46357</v>
      </c>
      <c r="L73" s="22" t="n">
        <v>12</v>
      </c>
      <c r="M73" s="13" t="inlineStr">
        <is>
          <t>No aplica es por TS</t>
        </is>
      </c>
      <c r="N73" s="6" t="n">
        <v>1300000</v>
      </c>
      <c r="O73" s="11" t="n">
        <v>0.25</v>
      </c>
      <c r="P73" s="5" t="n">
        <v>1261695.893456408</v>
      </c>
      <c r="Q73" s="6">
        <f>N73*(1+O73)</f>
        <v/>
      </c>
      <c r="R73" s="6">
        <f>AVERAGE(P73,Q73)</f>
        <v/>
      </c>
      <c r="S73" s="6">
        <f>IF(B73="CERRO",S72,S72+P73)</f>
        <v/>
      </c>
      <c r="T73" s="6">
        <f>IF(B73="CERRO",T72,T72+Q73)</f>
        <v/>
      </c>
      <c r="U73" s="6">
        <f>IF(B73="CERRO",U72,U72+R73)</f>
        <v/>
      </c>
      <c r="V73" s="29" t="inlineStr">
        <is>
          <t>NO</t>
        </is>
      </c>
      <c r="W73" s="29" t="inlineStr">
        <is>
          <t>NO</t>
        </is>
      </c>
      <c r="X73" s="29" t="inlineStr">
        <is>
          <t>NO</t>
        </is>
      </c>
    </row>
    <row r="74">
      <c r="A74" s="17" t="n">
        <v>73</v>
      </c>
      <c r="B74" s="25" t="inlineStr">
        <is>
          <t>DISCUTIBLE</t>
        </is>
      </c>
      <c r="C74" s="19" t="inlineStr">
        <is>
          <t>TS</t>
        </is>
      </c>
      <c r="D74" s="20" t="n"/>
      <c r="E74" s="4" t="n">
        <v>60161</v>
      </c>
      <c r="F74" s="4" t="inlineStr">
        <is>
          <t>Baln 22 Hurlingham Pta Mogotes</t>
        </is>
      </c>
      <c r="G74" s="4" t="inlineStr">
        <is>
          <t>HURLINGHAM 22 S.R.L.</t>
        </is>
      </c>
      <c r="H74" s="4" t="inlineStr">
        <is>
          <t>Quilmes</t>
        </is>
      </c>
      <c r="I74" s="4" t="inlineStr">
        <is>
          <t>BALNEARIOS</t>
        </is>
      </c>
      <c r="J74" s="21" t="n">
        <v>45992</v>
      </c>
      <c r="K74" s="21" t="n">
        <v>46357</v>
      </c>
      <c r="L74" s="22" t="n">
        <v>12</v>
      </c>
      <c r="M74" s="13" t="inlineStr">
        <is>
          <t>No aplica es por TS</t>
        </is>
      </c>
      <c r="N74" s="6" t="n">
        <v>1300000</v>
      </c>
      <c r="O74" s="11" t="n">
        <v>0.25</v>
      </c>
      <c r="P74" s="5" t="n">
        <v>1261695.893456408</v>
      </c>
      <c r="Q74" s="6">
        <f>N74*(1+O74)</f>
        <v/>
      </c>
      <c r="R74" s="6">
        <f>AVERAGE(P74,Q74)</f>
        <v/>
      </c>
      <c r="S74" s="6">
        <f>IF(B74="CERRO",S73,S73+P74)</f>
        <v/>
      </c>
      <c r="T74" s="6">
        <f>IF(B74="CERRO",T73,T73+Q74)</f>
        <v/>
      </c>
      <c r="U74" s="6">
        <f>IF(B74="CERRO",U73,U73+R74)</f>
        <v/>
      </c>
      <c r="V74" s="29" t="inlineStr">
        <is>
          <t>NO</t>
        </is>
      </c>
      <c r="W74" s="29" t="inlineStr">
        <is>
          <t>NO</t>
        </is>
      </c>
      <c r="X74" s="29" t="inlineStr">
        <is>
          <t>NO</t>
        </is>
      </c>
    </row>
    <row r="75">
      <c r="A75" s="17" t="n">
        <v>74</v>
      </c>
      <c r="B75" s="25" t="inlineStr">
        <is>
          <t>DISCUTIBLE</t>
        </is>
      </c>
      <c r="C75" s="19" t="inlineStr">
        <is>
          <t>TS</t>
        </is>
      </c>
      <c r="D75" s="20" t="n"/>
      <c r="E75" s="4" t="n">
        <v>60235</v>
      </c>
      <c r="F75" s="4" t="inlineStr">
        <is>
          <t>Baln 23 Carioca</t>
        </is>
      </c>
      <c r="G75" s="4" t="inlineStr">
        <is>
          <t>BALNEARIO CARIOCA S.R.L.</t>
        </is>
      </c>
      <c r="H75" s="4" t="inlineStr">
        <is>
          <t>Quilmes</t>
        </is>
      </c>
      <c r="I75" s="4" t="inlineStr">
        <is>
          <t>BALNEARIOS</t>
        </is>
      </c>
      <c r="J75" s="21" t="n">
        <v>45992</v>
      </c>
      <c r="K75" s="21" t="n">
        <v>46357</v>
      </c>
      <c r="L75" s="22" t="n">
        <v>12</v>
      </c>
      <c r="M75" s="13" t="inlineStr">
        <is>
          <t>No aplica es por TS</t>
        </is>
      </c>
      <c r="N75" s="6" t="n">
        <v>1300000</v>
      </c>
      <c r="O75" s="11" t="n">
        <v>0.25</v>
      </c>
      <c r="P75" s="5" t="n">
        <v>1261695.893456408</v>
      </c>
      <c r="Q75" s="6">
        <f>N75*(1+O75)</f>
        <v/>
      </c>
      <c r="R75" s="6">
        <f>AVERAGE(P75,Q75)</f>
        <v/>
      </c>
      <c r="S75" s="6">
        <f>IF(B75="CERRO",S74,S74+P75)</f>
        <v/>
      </c>
      <c r="T75" s="6">
        <f>IF(B75="CERRO",T74,T74+Q75)</f>
        <v/>
      </c>
      <c r="U75" s="6">
        <f>IF(B75="CERRO",U74,U74+R75)</f>
        <v/>
      </c>
      <c r="V75" s="29" t="inlineStr">
        <is>
          <t>NO</t>
        </is>
      </c>
      <c r="W75" s="29" t="inlineStr">
        <is>
          <t>NO</t>
        </is>
      </c>
      <c r="X75" s="29" t="inlineStr">
        <is>
          <t>NO</t>
        </is>
      </c>
    </row>
    <row r="76">
      <c r="A76" s="17" t="n">
        <v>75</v>
      </c>
      <c r="B76" s="25" t="inlineStr">
        <is>
          <t>DISCUTIBLE</t>
        </is>
      </c>
      <c r="C76" s="19" t="inlineStr">
        <is>
          <t>TS</t>
        </is>
      </c>
      <c r="D76" s="20" t="n"/>
      <c r="E76" s="4" t="n">
        <v>61577</v>
      </c>
      <c r="F76" s="4" t="inlineStr">
        <is>
          <t xml:space="preserve">Balneario 2 Alaciel </t>
        </is>
      </c>
      <c r="G76" s="4" t="inlineStr">
        <is>
          <t>Alazul SA</t>
        </is>
      </c>
      <c r="H76" s="4" t="inlineStr">
        <is>
          <t>Quilmes</t>
        </is>
      </c>
      <c r="I76" s="4" t="inlineStr">
        <is>
          <t>BALNEARIOS</t>
        </is>
      </c>
      <c r="J76" s="21" t="n">
        <v>45992</v>
      </c>
      <c r="K76" s="21" t="n">
        <v>46357</v>
      </c>
      <c r="L76" s="22" t="n">
        <v>12</v>
      </c>
      <c r="M76" s="13" t="inlineStr">
        <is>
          <t>No aplica es por TS</t>
        </is>
      </c>
      <c r="N76" s="6" t="n">
        <v>1300000</v>
      </c>
      <c r="O76" s="11" t="n">
        <v>0.25</v>
      </c>
      <c r="P76" s="5" t="n">
        <v>1261695.893456408</v>
      </c>
      <c r="Q76" s="6">
        <f>N76*(1+O76)</f>
        <v/>
      </c>
      <c r="R76" s="6">
        <f>AVERAGE(P76,Q76)</f>
        <v/>
      </c>
      <c r="S76" s="6">
        <f>IF(B76="CERRO",S75,S75+P76)</f>
        <v/>
      </c>
      <c r="T76" s="6">
        <f>IF(B76="CERRO",T75,T75+Q76)</f>
        <v/>
      </c>
      <c r="U76" s="6">
        <f>IF(B76="CERRO",U75,U75+R76)</f>
        <v/>
      </c>
      <c r="V76" s="29" t="inlineStr">
        <is>
          <t>NO</t>
        </is>
      </c>
      <c r="W76" s="29" t="inlineStr">
        <is>
          <t>NO</t>
        </is>
      </c>
      <c r="X76" s="29" t="inlineStr">
        <is>
          <t>NO</t>
        </is>
      </c>
    </row>
    <row r="78">
      <c r="M78" s="12" t="inlineStr">
        <is>
          <t>TOTAL 76 CONTRATOS (ZBB + TS)</t>
        </is>
      </c>
      <c r="N78" s="26">
        <f>SUM(N2:N76)</f>
        <v/>
      </c>
      <c r="P78" s="26">
        <f>SUM(P2:P76)</f>
        <v/>
      </c>
      <c r="Q78" s="26">
        <f>SUM(Q2:Q76)</f>
        <v/>
      </c>
      <c r="R78" s="26">
        <f>SUM(R2:R76)</f>
        <v/>
      </c>
    </row>
  </sheetData>
  <conditionalFormatting sqref="V2:X76">
    <cfRule type="cellIs" priority="1" operator="equal" dxfId="1">
      <formula>"NO"</formula>
    </cfRule>
    <cfRule type="cellIs" priority="2" operator="equal" dxfId="0">
      <formula>"SI"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2"/>
  <sheetViews>
    <sheetView showGridLines="0" workbookViewId="0">
      <selection activeCell="A1" sqref="A1"/>
    </sheetView>
  </sheetViews>
  <sheetFormatPr baseColWidth="8" defaultRowHeight="15"/>
  <cols>
    <col width="10" customWidth="1" style="32" min="1" max="1"/>
    <col width="34" customWidth="1" style="32" min="2" max="2"/>
    <col width="8" customWidth="1" style="32" min="3" max="3"/>
    <col width="12" customWidth="1" style="32" min="4" max="4"/>
    <col width="16" customWidth="1" style="32" min="5" max="5"/>
    <col width="18" customWidth="1" style="32" min="6" max="6"/>
    <col width="16" customWidth="1" style="32" min="7" max="7"/>
    <col width="12" customWidth="1" style="32" min="8" max="8"/>
    <col width="12" customWidth="1" style="32" min="9" max="9"/>
  </cols>
  <sheetData>
    <row r="1">
      <c r="A1" s="33" t="inlineStr">
        <is>
          <t>RESUMEN DE ESCENARIOS DE RENOVACION - FEE 2026 (76 contratos, ZBB + Trade Spend)</t>
        </is>
      </c>
    </row>
    <row r="2" ht="28" customHeight="1" s="32">
      <c r="A2" s="34" t="inlineStr">
        <is>
          <t>Presupuesto de referencia: Criterio 3 - Punto medio (promedio entre Criterio 1 - FEE Actualizado y Criterio 2 - FEE + Inflacion). El contrato CERRO (Helena Beach, $110.000.000) no participa: cierra / cambia de dueno y no renueva.</t>
        </is>
      </c>
    </row>
    <row r="4">
      <c r="A4" s="35" t="inlineStr">
        <is>
          <t>PRESUPUESTOS Y RESULTADO GLOBAL</t>
        </is>
      </c>
    </row>
    <row r="5" ht="30" customHeight="1" s="32">
      <c r="A5" s="36" t="inlineStr">
        <is>
          <t>Escenario</t>
        </is>
      </c>
      <c r="B5" s="36" t="inlineStr">
        <is>
          <t>Descripcion</t>
        </is>
      </c>
      <c r="C5" s="36" t="inlineStr">
        <is>
          <t>Presupuesto</t>
        </is>
      </c>
      <c r="D5" s="36" t="inlineStr">
        <is>
          <t>Entran</t>
        </is>
      </c>
      <c r="E5" s="36" t="inlineStr">
        <is>
          <t>Pierden</t>
        </is>
      </c>
      <c r="F5" s="36" t="inlineStr">
        <is>
          <t>Monto usado (C3)</t>
        </is>
      </c>
      <c r="G5" s="36" t="inlineStr">
        <is>
          <t>Sobrante/Faltante</t>
        </is>
      </c>
      <c r="H5" s="36" t="inlineStr">
        <is>
          <t>Perdidos IMP</t>
        </is>
      </c>
      <c r="I5" s="36" t="inlineStr">
        <is>
          <t>Perdidos DISC</t>
        </is>
      </c>
    </row>
    <row r="6">
      <c r="A6" s="37" t="inlineStr">
        <is>
          <t>Escenario 1</t>
        </is>
      </c>
      <c r="B6" s="38" t="inlineStr">
        <is>
          <t>ZBB - presupuesto disponible hoy</t>
        </is>
      </c>
      <c r="C6" s="39">
        <f>PARAMETROS!$B$10</f>
        <v/>
      </c>
      <c r="D6" s="40">
        <f>COUNTIF(BASE!V2:V76,"SI")</f>
        <v/>
      </c>
      <c r="E6" s="40">
        <f>COUNTIF(BASE!V2:V76,"NO")</f>
        <v/>
      </c>
      <c r="F6" s="39">
        <f>SUMIFS(BASE!$R$2:$R$76,BASE!V2:V76,"SI")</f>
        <v/>
      </c>
      <c r="G6" s="39">
        <f>C6-F6</f>
        <v/>
      </c>
      <c r="H6" s="40">
        <f>COUNTIFS(BASE!V2:V76,"NO",BASE!$B$2:$B$76,"IMPERDIBLE")</f>
        <v/>
      </c>
      <c r="I6" s="40">
        <f>COUNTIFS(BASE!V2:V76,"NO",BASE!$B$2:$B$76,"DISCUTIBLE")</f>
        <v/>
      </c>
    </row>
    <row r="7">
      <c r="A7" s="37" t="inlineStr">
        <is>
          <t>Escenario 2</t>
        </is>
      </c>
      <c r="B7" s="38" t="inlineStr">
        <is>
          <t>ZBB + adicional a conseguir</t>
        </is>
      </c>
      <c r="C7" s="39">
        <f>PARAMETROS!$B$13</f>
        <v/>
      </c>
      <c r="D7" s="40">
        <f>COUNTIF(BASE!W2:W76,"SI")</f>
        <v/>
      </c>
      <c r="E7" s="40">
        <f>COUNTIF(BASE!W2:W76,"NO")</f>
        <v/>
      </c>
      <c r="F7" s="39">
        <f>SUMIFS(BASE!$R$2:$R$76,BASE!W2:W76,"SI")</f>
        <v/>
      </c>
      <c r="G7" s="39">
        <f>C7-F7</f>
        <v/>
      </c>
      <c r="H7" s="40">
        <f>COUNTIFS(BASE!W2:W76,"NO",BASE!$B$2:$B$76,"IMPERDIBLE")</f>
        <v/>
      </c>
      <c r="I7" s="40">
        <f>COUNTIFS(BASE!W2:W76,"NO",BASE!$B$2:$B$76,"DISCUTIBLE")</f>
        <v/>
      </c>
    </row>
    <row r="8">
      <c r="A8" s="37" t="inlineStr">
        <is>
          <t>Escenario 3</t>
        </is>
      </c>
      <c r="B8" s="38" t="inlineStr">
        <is>
          <t>ZBB + Trade Spend - presupuesto total</t>
        </is>
      </c>
      <c r="C8" s="39">
        <f>PARAMETROS!$B$14</f>
        <v/>
      </c>
      <c r="D8" s="40">
        <f>COUNTIF(BASE!X2:X76,"SI")</f>
        <v/>
      </c>
      <c r="E8" s="40">
        <f>COUNTIF(BASE!X2:X76,"NO")</f>
        <v/>
      </c>
      <c r="F8" s="39">
        <f>SUMIFS(BASE!$R$2:$R$76,BASE!X2:X76,"SI")</f>
        <v/>
      </c>
      <c r="G8" s="39">
        <f>C8-F8</f>
        <v/>
      </c>
      <c r="H8" s="40">
        <f>COUNTIFS(BASE!X2:X76,"NO",BASE!$B$2:$B$76,"IMPERDIBLE")</f>
        <v/>
      </c>
      <c r="I8" s="40">
        <f>COUNTIFS(BASE!X2:X76,"NO",BASE!$B$2:$B$76,"DISCUTIBLE")</f>
        <v/>
      </c>
    </row>
    <row r="10" ht="28" customHeight="1" s="32">
      <c r="A10" s="41" t="inlineStr">
        <is>
          <t>NOTA: "Luna Roja" figura "SI" en Escenario 1 aunque su acumulado (Criterio 3) supera el presupuesto en aprox. $14.340.900 (decision manual tomada en la hoja BASE). Se respeto tal cual esta.</t>
        </is>
      </c>
    </row>
    <row r="13">
      <c r="A13" s="42" t="inlineStr">
        <is>
          <t>ESCENARIO 1 - CLIENTES QUE ENTRAN (ZBB - presupuesto disponible hoy)</t>
        </is>
      </c>
    </row>
    <row r="14" ht="26" customHeight="1" s="32">
      <c r="A14" s="36" t="inlineStr">
        <is>
          <t>Prioridad</t>
        </is>
      </c>
      <c r="B14" s="36" t="inlineStr">
        <is>
          <t>Cliente / PDV</t>
        </is>
      </c>
      <c r="C14" s="36" t="inlineStr">
        <is>
          <t>Bolsa</t>
        </is>
      </c>
      <c r="D14" s="36" t="inlineStr">
        <is>
          <t>Tier</t>
        </is>
      </c>
      <c r="E14" s="36" t="inlineStr">
        <is>
          <t>Monto FEE Actual</t>
        </is>
      </c>
      <c r="F14" s="36" t="inlineStr">
        <is>
          <t>Criterio 3 - Punto medio</t>
        </is>
      </c>
    </row>
    <row r="15">
      <c r="A15" s="40" t="n">
        <v>1</v>
      </c>
      <c r="B15" s="38" t="inlineStr">
        <is>
          <t>El Calamar Loco Chapa</t>
        </is>
      </c>
      <c r="C15" s="43" t="inlineStr">
        <is>
          <t>TS</t>
        </is>
      </c>
      <c r="D15" s="44" t="inlineStr">
        <is>
          <t>IMPERDIBLE</t>
        </is>
      </c>
      <c r="E15" s="39" t="n">
        <v>200000000</v>
      </c>
      <c r="F15" s="39" t="n">
        <v>220986696.713344</v>
      </c>
    </row>
    <row r="16">
      <c r="A16" s="40" t="n">
        <v>2</v>
      </c>
      <c r="B16" s="38" t="inlineStr">
        <is>
          <t>Mr Jones</t>
        </is>
      </c>
      <c r="C16" s="45" t="inlineStr">
        <is>
          <t>ZBB</t>
        </is>
      </c>
      <c r="D16" s="44" t="inlineStr">
        <is>
          <t>IMPERDIBLE</t>
        </is>
      </c>
      <c r="E16" s="39" t="n">
        <v>170000000</v>
      </c>
      <c r="F16" s="39" t="n">
        <v>239397586.0101022</v>
      </c>
    </row>
    <row r="17">
      <c r="A17" s="40" t="n">
        <v>3</v>
      </c>
      <c r="B17" s="38" t="inlineStr">
        <is>
          <t>Quba</t>
        </is>
      </c>
      <c r="C17" s="45" t="inlineStr">
        <is>
          <t>ZBB</t>
        </is>
      </c>
      <c r="D17" s="44" t="inlineStr">
        <is>
          <t>IMPERDIBLE</t>
        </is>
      </c>
      <c r="E17" s="39" t="n">
        <v>160000000</v>
      </c>
      <c r="F17" s="39" t="n">
        <v>225315375.0683315</v>
      </c>
    </row>
    <row r="18">
      <c r="A18" s="40" t="n">
        <v>4</v>
      </c>
      <c r="B18" s="38" t="inlineStr">
        <is>
          <t>Tante-Masse-La cabrera</t>
        </is>
      </c>
      <c r="C18" s="45" t="inlineStr">
        <is>
          <t>ZBB</t>
        </is>
      </c>
      <c r="D18" s="44" t="inlineStr">
        <is>
          <t>IMPERDIBLE</t>
        </is>
      </c>
      <c r="E18" s="39" t="n">
        <v>140000000</v>
      </c>
      <c r="F18" s="39" t="n">
        <v>197150953.1847901</v>
      </c>
    </row>
    <row r="19">
      <c r="A19" s="40" t="n">
        <v>5</v>
      </c>
      <c r="B19" s="38" t="inlineStr">
        <is>
          <t>Bruto</t>
        </is>
      </c>
      <c r="C19" s="45" t="inlineStr">
        <is>
          <t>ZBB</t>
        </is>
      </c>
      <c r="D19" s="44" t="inlineStr">
        <is>
          <t>IMPERDIBLE</t>
        </is>
      </c>
      <c r="E19" s="39" t="n">
        <v>95000000</v>
      </c>
      <c r="F19" s="39" t="n">
        <v>305360701.9568958</v>
      </c>
    </row>
    <row r="20">
      <c r="A20" s="40" t="n">
        <v>6</v>
      </c>
      <c r="B20" s="38" t="inlineStr">
        <is>
          <t>Samsara</t>
        </is>
      </c>
      <c r="C20" s="45" t="inlineStr">
        <is>
          <t>ZBB</t>
        </is>
      </c>
      <c r="D20" s="44" t="inlineStr">
        <is>
          <t>IMPERDIBLE</t>
        </is>
      </c>
      <c r="E20" s="39" t="n">
        <v>75000000</v>
      </c>
      <c r="F20" s="39" t="n">
        <v>105616582.0632804</v>
      </c>
    </row>
    <row r="21">
      <c r="A21" s="40" t="n">
        <v>7</v>
      </c>
      <c r="B21" s="38" t="inlineStr">
        <is>
          <t>La Gamba</t>
        </is>
      </c>
      <c r="C21" s="45" t="inlineStr">
        <is>
          <t>ZBB</t>
        </is>
      </c>
      <c r="D21" s="44" t="inlineStr">
        <is>
          <t>IMPERDIBLE</t>
        </is>
      </c>
      <c r="E21" s="39" t="n">
        <v>60000000</v>
      </c>
      <c r="F21" s="39" t="n">
        <v>84493265.65062431</v>
      </c>
    </row>
    <row r="22">
      <c r="A22" s="40" t="n">
        <v>8</v>
      </c>
      <c r="B22" s="38" t="inlineStr">
        <is>
          <t>Luna Roja</t>
        </is>
      </c>
      <c r="C22" s="43" t="inlineStr">
        <is>
          <t>TS</t>
        </is>
      </c>
      <c r="D22" s="44" t="inlineStr">
        <is>
          <t>IMPERDIBLE</t>
        </is>
      </c>
      <c r="E22" s="39" t="n">
        <v>60000000</v>
      </c>
      <c r="F22" s="39" t="n">
        <v>66296009.0140032</v>
      </c>
    </row>
    <row r="23">
      <c r="B23" s="46" t="inlineStr">
        <is>
          <t>TOTAL 8 CLIENTES QUE ENTRAN</t>
        </is>
      </c>
      <c r="E23" s="47">
        <f>SUM(E15:E22)</f>
        <v/>
      </c>
      <c r="F23" s="47">
        <f>SUM(F15:F22)</f>
        <v/>
      </c>
    </row>
    <row r="25">
      <c r="A25" s="48" t="inlineStr">
        <is>
          <t>ESCENARIO 1 - CLIENTES QUE SE PIERDEN (ZBB - presupuesto disponible hoy)</t>
        </is>
      </c>
    </row>
    <row r="26" ht="26" customHeight="1" s="32">
      <c r="A26" s="49" t="inlineStr">
        <is>
          <t>Prioridad</t>
        </is>
      </c>
      <c r="B26" s="49" t="inlineStr">
        <is>
          <t>Cliente / PDV</t>
        </is>
      </c>
      <c r="C26" s="49" t="inlineStr">
        <is>
          <t>Bolsa</t>
        </is>
      </c>
      <c r="D26" s="49" t="inlineStr">
        <is>
          <t>Tier</t>
        </is>
      </c>
      <c r="E26" s="49" t="inlineStr">
        <is>
          <t>Monto FEE Actual</t>
        </is>
      </c>
      <c r="F26" s="49" t="inlineStr">
        <is>
          <t>Criterio 3 - Punto medio</t>
        </is>
      </c>
    </row>
    <row r="27">
      <c r="A27" s="40" t="n">
        <v>9</v>
      </c>
      <c r="B27" s="38" t="inlineStr">
        <is>
          <t>El Calamar Loco PG</t>
        </is>
      </c>
      <c r="C27" s="43" t="inlineStr">
        <is>
          <t>TS</t>
        </is>
      </c>
      <c r="D27" s="44" t="inlineStr">
        <is>
          <t>IMPERDIBLE</t>
        </is>
      </c>
      <c r="E27" s="39" t="n">
        <v>41000000</v>
      </c>
      <c r="F27" s="39" t="n">
        <v>46125000</v>
      </c>
    </row>
    <row r="28">
      <c r="A28" s="40" t="n">
        <v>10</v>
      </c>
      <c r="B28" s="38" t="inlineStr">
        <is>
          <t>Bendu</t>
        </is>
      </c>
      <c r="C28" s="43" t="inlineStr">
        <is>
          <t>TS</t>
        </is>
      </c>
      <c r="D28" s="44" t="inlineStr">
        <is>
          <t>IMPERDIBLE</t>
        </is>
      </c>
      <c r="E28" s="39" t="n">
        <v>40000000</v>
      </c>
      <c r="F28" s="39" t="n">
        <v>44197339.3426688</v>
      </c>
    </row>
    <row r="29">
      <c r="A29" s="40" t="n">
        <v>11</v>
      </c>
      <c r="B29" s="38" t="inlineStr">
        <is>
          <t xml:space="preserve">Pueblo Límite </t>
        </is>
      </c>
      <c r="C29" s="43" t="inlineStr">
        <is>
          <t>TS</t>
        </is>
      </c>
      <c r="D29" s="44" t="inlineStr">
        <is>
          <t>IMPERDIBLE</t>
        </is>
      </c>
      <c r="E29" s="39" t="n">
        <v>30000000</v>
      </c>
      <c r="F29" s="39" t="n">
        <v>33148004.5070016</v>
      </c>
    </row>
    <row r="30">
      <c r="A30" s="40" t="n">
        <v>12</v>
      </c>
      <c r="B30" s="38" t="inlineStr">
        <is>
          <t>Casa Pampa</t>
        </is>
      </c>
      <c r="C30" s="45" t="inlineStr">
        <is>
          <t>ZBB</t>
        </is>
      </c>
      <c r="D30" s="44" t="inlineStr">
        <is>
          <t>IMPERDIBLE</t>
        </is>
      </c>
      <c r="E30" s="39" t="n">
        <v>25000000</v>
      </c>
      <c r="F30" s="39" t="n">
        <v>35205527.3544268</v>
      </c>
    </row>
    <row r="31">
      <c r="A31" s="40" t="n">
        <v>13</v>
      </c>
      <c r="B31" s="38" t="inlineStr">
        <is>
          <t>ESTACION CENTRAL</t>
        </is>
      </c>
      <c r="C31" s="45" t="inlineStr">
        <is>
          <t>ZBB</t>
        </is>
      </c>
      <c r="D31" s="44" t="inlineStr">
        <is>
          <t>IMPERDIBLE</t>
        </is>
      </c>
      <c r="E31" s="39" t="n">
        <v>25000000</v>
      </c>
      <c r="F31" s="39" t="n">
        <v>67163494.03439189</v>
      </c>
    </row>
    <row r="32">
      <c r="A32" s="40" t="n">
        <v>14</v>
      </c>
      <c r="B32" s="38" t="inlineStr">
        <is>
          <t>Casa Mar</t>
        </is>
      </c>
      <c r="C32" s="43" t="inlineStr">
        <is>
          <t>TS</t>
        </is>
      </c>
      <c r="D32" s="44" t="inlineStr">
        <is>
          <t>IMPERDIBLE</t>
        </is>
      </c>
      <c r="E32" s="39" t="n">
        <v>17500000</v>
      </c>
      <c r="F32" s="39" t="n">
        <v>19336335.9624176</v>
      </c>
    </row>
    <row r="33">
      <c r="A33" s="40" t="n">
        <v>15</v>
      </c>
      <c r="B33" s="38" t="inlineStr">
        <is>
          <t>LOS TOLDOS VIEJOS</t>
        </is>
      </c>
      <c r="C33" s="45" t="inlineStr">
        <is>
          <t>ZBB</t>
        </is>
      </c>
      <c r="D33" s="44" t="inlineStr">
        <is>
          <t>IMPERDIBLE</t>
        </is>
      </c>
      <c r="E33" s="39" t="n">
        <v>16000000</v>
      </c>
      <c r="F33" s="39" t="n">
        <v>22531537.50683315</v>
      </c>
    </row>
    <row r="34">
      <c r="A34" s="40" t="n">
        <v>16</v>
      </c>
      <c r="B34" s="38" t="inlineStr">
        <is>
          <t>Villa Aluminé</t>
        </is>
      </c>
      <c r="C34" s="45" t="inlineStr">
        <is>
          <t>ZBB</t>
        </is>
      </c>
      <c r="D34" s="44" t="inlineStr">
        <is>
          <t>IMPERDIBLE</t>
        </is>
      </c>
      <c r="E34" s="39" t="n">
        <v>16000000</v>
      </c>
      <c r="F34" s="39" t="n">
        <v>22531537.50683315</v>
      </c>
    </row>
    <row r="35">
      <c r="A35" s="40" t="n">
        <v>17</v>
      </c>
      <c r="B35" s="38" t="inlineStr">
        <is>
          <t>EDV</t>
        </is>
      </c>
      <c r="C35" s="43" t="inlineStr">
        <is>
          <t>TS</t>
        </is>
      </c>
      <c r="D35" s="44" t="inlineStr">
        <is>
          <t>IMPERDIBLE</t>
        </is>
      </c>
      <c r="E35" s="39" t="n">
        <v>11000000</v>
      </c>
      <c r="F35" s="39" t="n">
        <v>12154268.31923392</v>
      </c>
    </row>
    <row r="36">
      <c r="A36" s="40" t="n">
        <v>18</v>
      </c>
      <c r="B36" s="38" t="inlineStr">
        <is>
          <t>Bosques del Faro</t>
        </is>
      </c>
      <c r="C36" s="43" t="inlineStr">
        <is>
          <t>TS</t>
        </is>
      </c>
      <c r="D36" s="44" t="inlineStr">
        <is>
          <t>IMPERDIBLE</t>
        </is>
      </c>
      <c r="E36" s="39" t="n">
        <v>10000000</v>
      </c>
      <c r="F36" s="39" t="n">
        <v>11049334.8356672</v>
      </c>
    </row>
    <row r="37">
      <c r="A37" s="40" t="n">
        <v>19</v>
      </c>
      <c r="B37" s="38" t="inlineStr">
        <is>
          <t>Cava Federal</t>
        </is>
      </c>
      <c r="C37" s="45" t="inlineStr">
        <is>
          <t>ZBB</t>
        </is>
      </c>
      <c r="D37" s="44" t="inlineStr">
        <is>
          <t>IMPERDIBLE</t>
        </is>
      </c>
      <c r="E37" s="39" t="n">
        <v>10000000</v>
      </c>
      <c r="F37" s="39" t="n">
        <v>14277033.40063945</v>
      </c>
    </row>
    <row r="38">
      <c r="A38" s="40" t="n">
        <v>20</v>
      </c>
      <c r="B38" s="38" t="inlineStr">
        <is>
          <t>Palma Bristo Amarras</t>
        </is>
      </c>
      <c r="C38" s="45" t="inlineStr">
        <is>
          <t>ZBB</t>
        </is>
      </c>
      <c r="D38" s="44" t="inlineStr">
        <is>
          <t>IMPERDIBLE</t>
        </is>
      </c>
      <c r="E38" s="39" t="n">
        <v>10000000</v>
      </c>
      <c r="F38" s="39" t="n">
        <v>26865397.61375675</v>
      </c>
    </row>
    <row r="39">
      <c r="A39" s="40" t="n">
        <v>21</v>
      </c>
      <c r="B39" s="38" t="inlineStr">
        <is>
          <t>Waikiki</t>
        </is>
      </c>
      <c r="C39" s="43" t="inlineStr">
        <is>
          <t>TS</t>
        </is>
      </c>
      <c r="D39" s="44" t="inlineStr">
        <is>
          <t>IMPERDIBLE</t>
        </is>
      </c>
      <c r="E39" s="39" t="n">
        <v>10000000</v>
      </c>
      <c r="F39" s="39" t="n">
        <v>11049334.8356672</v>
      </c>
    </row>
    <row r="40">
      <c r="A40" s="40" t="n">
        <v>22</v>
      </c>
      <c r="B40" s="38" t="inlineStr">
        <is>
          <t>Hemingway</t>
        </is>
      </c>
      <c r="C40" s="43" t="inlineStr">
        <is>
          <t>TS</t>
        </is>
      </c>
      <c r="D40" s="44" t="inlineStr">
        <is>
          <t>IMPERDIBLE</t>
        </is>
      </c>
      <c r="E40" s="39" t="n">
        <v>8000000</v>
      </c>
      <c r="F40" s="39" t="n">
        <v>8839467.86853376</v>
      </c>
    </row>
    <row r="41">
      <c r="A41" s="40" t="n">
        <v>23</v>
      </c>
      <c r="B41" s="38" t="inlineStr">
        <is>
          <t>Mattone</t>
        </is>
      </c>
      <c r="C41" s="45" t="inlineStr">
        <is>
          <t>ZBB</t>
        </is>
      </c>
      <c r="D41" s="44" t="inlineStr">
        <is>
          <t>IMPERDIBLE</t>
        </is>
      </c>
      <c r="E41" s="39" t="n">
        <v>6000000</v>
      </c>
      <c r="F41" s="39" t="n">
        <v>8449326.565062432</v>
      </c>
    </row>
    <row r="42">
      <c r="A42" s="40" t="n">
        <v>24</v>
      </c>
      <c r="B42" s="38" t="inlineStr">
        <is>
          <t>CR</t>
        </is>
      </c>
      <c r="C42" s="43" t="inlineStr">
        <is>
          <t>TS</t>
        </is>
      </c>
      <c r="D42" s="44" t="inlineStr">
        <is>
          <t>IMPERDIBLE</t>
        </is>
      </c>
      <c r="E42" s="39" t="n">
        <v>5000000</v>
      </c>
      <c r="F42" s="39" t="n">
        <v>5524667.4178336</v>
      </c>
    </row>
    <row r="43">
      <c r="A43" s="40" t="n">
        <v>25</v>
      </c>
      <c r="B43" s="38" t="inlineStr">
        <is>
          <t>DOS 55</t>
        </is>
      </c>
      <c r="C43" s="45" t="inlineStr">
        <is>
          <t>ZBB</t>
        </is>
      </c>
      <c r="D43" s="44" t="inlineStr">
        <is>
          <t>IMPERDIBLE</t>
        </is>
      </c>
      <c r="E43" s="39" t="n">
        <v>5000000</v>
      </c>
      <c r="F43" s="39" t="n">
        <v>5746521.257017586</v>
      </c>
    </row>
    <row r="44">
      <c r="A44" s="40" t="n">
        <v>26</v>
      </c>
      <c r="B44" s="38" t="inlineStr">
        <is>
          <t>SANTA</t>
        </is>
      </c>
      <c r="C44" s="45" t="inlineStr">
        <is>
          <t>ZBB</t>
        </is>
      </c>
      <c r="D44" s="44" t="inlineStr">
        <is>
          <t>IMPERDIBLE</t>
        </is>
      </c>
      <c r="E44" s="39" t="n">
        <v>5000000</v>
      </c>
      <c r="F44" s="39" t="n">
        <v>13432698.80687838</v>
      </c>
    </row>
    <row r="45">
      <c r="A45" s="40" t="n">
        <v>27</v>
      </c>
      <c r="B45" s="38" t="inlineStr">
        <is>
          <t>Surfer</t>
        </is>
      </c>
      <c r="C45" s="43" t="inlineStr">
        <is>
          <t>TS</t>
        </is>
      </c>
      <c r="D45" s="44" t="inlineStr">
        <is>
          <t>IMPERDIBLE</t>
        </is>
      </c>
      <c r="E45" s="39" t="n">
        <v>5000000</v>
      </c>
      <c r="F45" s="39" t="n">
        <v>5524667.4178336</v>
      </c>
    </row>
    <row r="46">
      <c r="A46" s="40" t="n">
        <v>28</v>
      </c>
      <c r="B46" s="38" t="inlineStr">
        <is>
          <t>Hondo</t>
        </is>
      </c>
      <c r="C46" s="45" t="inlineStr">
        <is>
          <t>ZBB</t>
        </is>
      </c>
      <c r="D46" s="44" t="inlineStr">
        <is>
          <t>IMPERDIBLE</t>
        </is>
      </c>
      <c r="E46" s="39" t="n">
        <v>4000000</v>
      </c>
      <c r="F46" s="39" t="n">
        <v>5658146.099396203</v>
      </c>
    </row>
    <row r="47">
      <c r="A47" s="40" t="n">
        <v>29</v>
      </c>
      <c r="B47" s="38" t="inlineStr">
        <is>
          <t>Negroni pinamar</t>
        </is>
      </c>
      <c r="C47" s="45" t="inlineStr">
        <is>
          <t>ZBB</t>
        </is>
      </c>
      <c r="D47" s="44" t="inlineStr">
        <is>
          <t>IMPERDIBLE</t>
        </is>
      </c>
      <c r="E47" s="39" t="n">
        <v>4000000</v>
      </c>
      <c r="F47" s="39" t="n">
        <v>5710813.36025578</v>
      </c>
    </row>
    <row r="48">
      <c r="A48" s="40" t="n">
        <v>30</v>
      </c>
      <c r="B48" s="38" t="inlineStr">
        <is>
          <t>Cooperativa de Pesca</t>
        </is>
      </c>
      <c r="C48" s="45" t="inlineStr">
        <is>
          <t>ZBB</t>
        </is>
      </c>
      <c r="D48" s="44" t="inlineStr">
        <is>
          <t>IMPERDIBLE</t>
        </is>
      </c>
      <c r="E48" s="39" t="n">
        <v>3500000</v>
      </c>
      <c r="F48" s="39" t="n">
        <v>5279733.917199708</v>
      </c>
    </row>
    <row r="49">
      <c r="A49" s="40" t="n">
        <v>31</v>
      </c>
      <c r="B49" s="38" t="inlineStr">
        <is>
          <t>Kai Bar</t>
        </is>
      </c>
      <c r="C49" s="43" t="inlineStr">
        <is>
          <t>TS</t>
        </is>
      </c>
      <c r="D49" s="44" t="inlineStr">
        <is>
          <t>IMPERDIBLE</t>
        </is>
      </c>
      <c r="E49" s="39" t="n">
        <v>2200000</v>
      </c>
      <c r="F49" s="39" t="n">
        <v>2430853.663846784</v>
      </c>
    </row>
    <row r="50">
      <c r="A50" s="40" t="n">
        <v>32</v>
      </c>
      <c r="B50" s="38" t="inlineStr">
        <is>
          <t xml:space="preserve">Parentela </t>
        </is>
      </c>
      <c r="C50" s="43" t="inlineStr">
        <is>
          <t>TS</t>
        </is>
      </c>
      <c r="D50" s="44" t="inlineStr">
        <is>
          <t>IMPERDIBLE</t>
        </is>
      </c>
      <c r="E50" s="39" t="n">
        <v>1200000</v>
      </c>
      <c r="F50" s="39" t="n">
        <v>1280131.573170863</v>
      </c>
    </row>
    <row r="51">
      <c r="A51" s="40" t="n">
        <v>33</v>
      </c>
      <c r="B51" s="38" t="inlineStr">
        <is>
          <t>La Normandina</t>
        </is>
      </c>
      <c r="C51" s="43" t="inlineStr">
        <is>
          <t>TS</t>
        </is>
      </c>
      <c r="D51" s="50" t="inlineStr">
        <is>
          <t>DISCUTIBLE</t>
        </is>
      </c>
      <c r="E51" s="39" t="n">
        <v>70000000</v>
      </c>
      <c r="F51" s="39" t="n">
        <v>77345343.84967041</v>
      </c>
    </row>
    <row r="52">
      <c r="A52" s="40" t="n">
        <v>34</v>
      </c>
      <c r="B52" s="38" t="inlineStr">
        <is>
          <t>Brothers</t>
        </is>
      </c>
      <c r="C52" s="45" t="inlineStr">
        <is>
          <t>ZBB</t>
        </is>
      </c>
      <c r="D52" s="50" t="inlineStr">
        <is>
          <t>DISCUTIBLE</t>
        </is>
      </c>
      <c r="E52" s="39" t="n">
        <v>65000000</v>
      </c>
      <c r="F52" s="39" t="n">
        <v>91944874.1151883</v>
      </c>
    </row>
    <row r="53">
      <c r="A53" s="40" t="n">
        <v>35</v>
      </c>
      <c r="B53" s="38" t="inlineStr">
        <is>
          <t>Camping Americano</t>
        </is>
      </c>
      <c r="C53" s="45" t="inlineStr">
        <is>
          <t>ZBB</t>
        </is>
      </c>
      <c r="D53" s="50" t="inlineStr">
        <is>
          <t>DISCUTIBLE</t>
        </is>
      </c>
      <c r="E53" s="39" t="n">
        <v>11000000</v>
      </c>
      <c r="F53" s="39" t="n">
        <v>15559901.77333955</v>
      </c>
    </row>
    <row r="54">
      <c r="A54" s="40" t="n">
        <v>36</v>
      </c>
      <c r="B54" s="38" t="inlineStr">
        <is>
          <t>Mambrú</t>
        </is>
      </c>
      <c r="C54" s="45" t="inlineStr">
        <is>
          <t>ZBB</t>
        </is>
      </c>
      <c r="D54" s="50" t="inlineStr">
        <is>
          <t>DISCUTIBLE</t>
        </is>
      </c>
      <c r="E54" s="39" t="n">
        <v>8000000</v>
      </c>
      <c r="F54" s="39" t="n">
        <v>11265768.75341658</v>
      </c>
    </row>
    <row r="55">
      <c r="A55" s="40" t="n">
        <v>37</v>
      </c>
      <c r="B55" s="38" t="inlineStr">
        <is>
          <t>El Condor</t>
        </is>
      </c>
      <c r="C55" s="43" t="inlineStr">
        <is>
          <t>TS</t>
        </is>
      </c>
      <c r="D55" s="50" t="inlineStr">
        <is>
          <t>DISCUTIBLE</t>
        </is>
      </c>
      <c r="E55" s="39" t="n">
        <v>2200000</v>
      </c>
      <c r="F55" s="39" t="n">
        <v>2430853.663846784</v>
      </c>
    </row>
    <row r="56">
      <c r="A56" s="40" t="n">
        <v>38</v>
      </c>
      <c r="B56" s="38" t="inlineStr">
        <is>
          <t xml:space="preserve">Olivo </t>
        </is>
      </c>
      <c r="C56" s="43" t="inlineStr">
        <is>
          <t>TS</t>
        </is>
      </c>
      <c r="D56" s="50" t="inlineStr">
        <is>
          <t>DISCUTIBLE</t>
        </is>
      </c>
      <c r="E56" s="39" t="n">
        <v>1800000</v>
      </c>
      <c r="F56" s="39" t="n">
        <v>1988880.270420096</v>
      </c>
    </row>
    <row r="57">
      <c r="A57" s="40" t="n">
        <v>39</v>
      </c>
      <c r="B57" s="38" t="inlineStr">
        <is>
          <t>NEREA</t>
        </is>
      </c>
      <c r="C57" s="45" t="inlineStr">
        <is>
          <t>ZBB</t>
        </is>
      </c>
      <c r="D57" s="50" t="inlineStr">
        <is>
          <t>DISCUTIBLE</t>
        </is>
      </c>
      <c r="E57" s="39" t="n">
        <v>1700000</v>
      </c>
      <c r="F57" s="39" t="n">
        <v>2404712.092243386</v>
      </c>
    </row>
    <row r="58">
      <c r="A58" s="40" t="n">
        <v>40</v>
      </c>
      <c r="B58" s="38" t="inlineStr">
        <is>
          <t>El Taino</t>
        </is>
      </c>
      <c r="C58" s="43" t="inlineStr">
        <is>
          <t>TS</t>
        </is>
      </c>
      <c r="D58" s="50" t="inlineStr">
        <is>
          <t>DISCUTIBLE</t>
        </is>
      </c>
      <c r="E58" s="39" t="n">
        <v>1200000</v>
      </c>
      <c r="F58" s="39" t="n">
        <v>1325920.180280064</v>
      </c>
    </row>
    <row r="59">
      <c r="A59" s="40" t="n">
        <v>41</v>
      </c>
      <c r="B59" s="38" t="inlineStr">
        <is>
          <t>Lo de Fran</t>
        </is>
      </c>
      <c r="C59" s="45" t="inlineStr">
        <is>
          <t>ZBB</t>
        </is>
      </c>
      <c r="D59" s="50" t="inlineStr">
        <is>
          <t>DISCUTIBLE</t>
        </is>
      </c>
      <c r="E59" s="39" t="n">
        <v>21000000</v>
      </c>
      <c r="F59" s="39" t="n">
        <v>30553931.69969488</v>
      </c>
    </row>
    <row r="60">
      <c r="A60" s="40" t="n">
        <v>42</v>
      </c>
      <c r="B60" s="38" t="inlineStr">
        <is>
          <t>El Bar</t>
        </is>
      </c>
      <c r="C60" s="43" t="inlineStr">
        <is>
          <t>TS</t>
        </is>
      </c>
      <c r="D60" s="50" t="inlineStr">
        <is>
          <t>DISCUTIBLE</t>
        </is>
      </c>
      <c r="E60" s="39" t="n">
        <v>20000000</v>
      </c>
      <c r="F60" s="39" t="n">
        <v>22098669.6713344</v>
      </c>
    </row>
    <row r="61">
      <c r="A61" s="40" t="n">
        <v>43</v>
      </c>
      <c r="B61" s="38" t="inlineStr">
        <is>
          <t>Espacio Pueyrredón</t>
        </is>
      </c>
      <c r="C61" s="43" t="inlineStr">
        <is>
          <t>TS</t>
        </is>
      </c>
      <c r="D61" s="50" t="inlineStr">
        <is>
          <t>DISCUTIBLE</t>
        </is>
      </c>
      <c r="E61" s="39" t="n">
        <v>17000000</v>
      </c>
      <c r="F61" s="39" t="n">
        <v>18518040.38184841</v>
      </c>
    </row>
    <row r="62">
      <c r="A62" s="40" t="n">
        <v>44</v>
      </c>
      <c r="B62" s="38" t="inlineStr">
        <is>
          <t>Honu Beach</t>
        </is>
      </c>
      <c r="C62" s="43" t="inlineStr">
        <is>
          <t>TS</t>
        </is>
      </c>
      <c r="D62" s="50" t="inlineStr">
        <is>
          <t>DISCUTIBLE</t>
        </is>
      </c>
      <c r="E62" s="39" t="n">
        <v>15000000</v>
      </c>
      <c r="F62" s="39" t="n">
        <v>16875000</v>
      </c>
    </row>
    <row r="63">
      <c r="A63" s="40" t="n">
        <v>45</v>
      </c>
      <c r="B63" s="38" t="inlineStr">
        <is>
          <t>mama Concert</t>
        </is>
      </c>
      <c r="C63" s="45" t="inlineStr">
        <is>
          <t>ZBB</t>
        </is>
      </c>
      <c r="D63" s="50" t="inlineStr">
        <is>
          <t>DISCUTIBLE</t>
        </is>
      </c>
      <c r="E63" s="39" t="n">
        <v>15000000</v>
      </c>
      <c r="F63" s="39" t="n">
        <v>46693265.65062431</v>
      </c>
    </row>
    <row r="64">
      <c r="A64" s="40" t="n">
        <v>46</v>
      </c>
      <c r="B64" s="38" t="inlineStr">
        <is>
          <t>Mirador Tandil</t>
        </is>
      </c>
      <c r="C64" s="45" t="inlineStr">
        <is>
          <t>ZBB</t>
        </is>
      </c>
      <c r="D64" s="50" t="inlineStr">
        <is>
          <t>DISCUTIBLE</t>
        </is>
      </c>
      <c r="E64" s="39" t="n">
        <v>15000000</v>
      </c>
      <c r="F64" s="39" t="n">
        <v>21123316.41265608</v>
      </c>
    </row>
    <row r="65">
      <c r="A65" s="40" t="n">
        <v>47</v>
      </c>
      <c r="B65" s="38" t="inlineStr">
        <is>
          <t>Newbery</t>
        </is>
      </c>
      <c r="C65" s="43" t="inlineStr">
        <is>
          <t>TS</t>
        </is>
      </c>
      <c r="D65" s="50" t="inlineStr">
        <is>
          <t>DISCUTIBLE</t>
        </is>
      </c>
      <c r="E65" s="39" t="n">
        <v>14000000</v>
      </c>
      <c r="F65" s="39" t="n">
        <v>15469068.76993408</v>
      </c>
    </row>
    <row r="66">
      <c r="A66" s="40" t="n">
        <v>48</v>
      </c>
      <c r="B66" s="38" t="inlineStr">
        <is>
          <t>Barra Beach</t>
        </is>
      </c>
      <c r="C66" s="43" t="inlineStr">
        <is>
          <t>TS</t>
        </is>
      </c>
      <c r="D66" s="50" t="inlineStr">
        <is>
          <t>DISCUTIBLE</t>
        </is>
      </c>
      <c r="E66" s="39" t="n">
        <v>12000000</v>
      </c>
      <c r="F66" s="39" t="n">
        <v>13259201.80280064</v>
      </c>
    </row>
    <row r="67">
      <c r="A67" s="40" t="n">
        <v>49</v>
      </c>
      <c r="B67" s="38" t="inlineStr">
        <is>
          <t>Break 197</t>
        </is>
      </c>
      <c r="C67" s="43" t="inlineStr">
        <is>
          <t>TS</t>
        </is>
      </c>
      <c r="D67" s="50" t="inlineStr">
        <is>
          <t>DISCUTIBLE</t>
        </is>
      </c>
      <c r="E67" s="39" t="n">
        <v>11500000</v>
      </c>
      <c r="F67" s="39" t="n">
        <v>12706735.06101728</v>
      </c>
    </row>
    <row r="68">
      <c r="A68" s="40" t="n">
        <v>50</v>
      </c>
      <c r="B68" s="38" t="inlineStr">
        <is>
          <t>La Reserva</t>
        </is>
      </c>
      <c r="C68" s="43" t="inlineStr">
        <is>
          <t>TS</t>
        </is>
      </c>
      <c r="D68" s="50" t="inlineStr">
        <is>
          <t>DISCUTIBLE</t>
        </is>
      </c>
      <c r="E68" s="39" t="n">
        <v>10000000</v>
      </c>
      <c r="F68" s="39" t="n">
        <v>11049334.8356672</v>
      </c>
    </row>
    <row r="69">
      <c r="A69" s="40" t="n">
        <v>51</v>
      </c>
      <c r="B69" s="38" t="inlineStr">
        <is>
          <t>Pontevedra/Di Mero/Membrillo/Brasa</t>
        </is>
      </c>
      <c r="C69" s="45" t="inlineStr">
        <is>
          <t>ZBB</t>
        </is>
      </c>
      <c r="D69" s="50" t="inlineStr">
        <is>
          <t>DISCUTIBLE</t>
        </is>
      </c>
      <c r="E69" s="39" t="n">
        <v>10000000</v>
      </c>
      <c r="F69" s="39" t="n">
        <v>14082210.94177071</v>
      </c>
    </row>
    <row r="70">
      <c r="A70" s="40" t="n">
        <v>52</v>
      </c>
      <c r="B70" s="38" t="inlineStr">
        <is>
          <t>Tiki Bar</t>
        </is>
      </c>
      <c r="C70" s="43" t="inlineStr">
        <is>
          <t>TS</t>
        </is>
      </c>
      <c r="D70" s="50" t="inlineStr">
        <is>
          <t>DISCUTIBLE</t>
        </is>
      </c>
      <c r="E70" s="39" t="n">
        <v>8000000</v>
      </c>
      <c r="F70" s="39" t="n">
        <v>8839467.86853376</v>
      </c>
    </row>
    <row r="71">
      <c r="A71" s="40" t="n">
        <v>53</v>
      </c>
      <c r="B71" s="38" t="inlineStr">
        <is>
          <t>El Soleado</t>
        </is>
      </c>
      <c r="C71" s="43" t="inlineStr">
        <is>
          <t>TS</t>
        </is>
      </c>
      <c r="D71" s="50" t="inlineStr">
        <is>
          <t>DISCUTIBLE</t>
        </is>
      </c>
      <c r="E71" s="39" t="n">
        <v>7800000</v>
      </c>
      <c r="F71" s="39" t="n">
        <v>8618481.171820417</v>
      </c>
    </row>
    <row r="72">
      <c r="A72" s="40" t="n">
        <v>54</v>
      </c>
      <c r="B72" s="38" t="inlineStr">
        <is>
          <t>Parque Mogotes</t>
        </is>
      </c>
      <c r="C72" s="43" t="inlineStr">
        <is>
          <t>TS</t>
        </is>
      </c>
      <c r="D72" s="50" t="inlineStr">
        <is>
          <t>DISCUTIBLE</t>
        </is>
      </c>
      <c r="E72" s="39" t="n">
        <v>7000000</v>
      </c>
      <c r="F72" s="39" t="n">
        <v>7625075.451349346</v>
      </c>
    </row>
    <row r="73">
      <c r="A73" s="40" t="n">
        <v>55</v>
      </c>
      <c r="B73" s="38" t="inlineStr">
        <is>
          <t>Hamburguesería Weiss</t>
        </is>
      </c>
      <c r="C73" s="45" t="inlineStr">
        <is>
          <t>ZBB</t>
        </is>
      </c>
      <c r="D73" s="50" t="inlineStr">
        <is>
          <t>DISCUTIBLE</t>
        </is>
      </c>
      <c r="E73" s="39" t="n">
        <v>6000000</v>
      </c>
      <c r="F73" s="39" t="n">
        <v>8213142.307718277</v>
      </c>
    </row>
    <row r="74">
      <c r="A74" s="40" t="n">
        <v>56</v>
      </c>
      <c r="B74" s="38" t="inlineStr">
        <is>
          <t xml:space="preserve">El Descorche </t>
        </is>
      </c>
      <c r="C74" s="45" t="inlineStr">
        <is>
          <t>ZBB</t>
        </is>
      </c>
      <c r="D74" s="50" t="inlineStr">
        <is>
          <t>DISCUTIBLE</t>
        </is>
      </c>
      <c r="E74" s="39" t="n">
        <v>5800000</v>
      </c>
      <c r="F74" s="39" t="n">
        <v>8358797.036751958</v>
      </c>
    </row>
    <row r="75">
      <c r="A75" s="40" t="n">
        <v>57</v>
      </c>
      <c r="B75" s="38" t="inlineStr">
        <is>
          <t>Baln 5,6,7 y 8 ACA</t>
        </is>
      </c>
      <c r="C75" s="43" t="inlineStr">
        <is>
          <t>TS</t>
        </is>
      </c>
      <c r="D75" s="50" t="inlineStr">
        <is>
          <t>DISCUTIBLE</t>
        </is>
      </c>
      <c r="E75" s="39" t="n">
        <v>5200000</v>
      </c>
      <c r="F75" s="39" t="n">
        <v>5773391.786912816</v>
      </c>
    </row>
    <row r="76">
      <c r="A76" s="40" t="n">
        <v>58</v>
      </c>
      <c r="B76" s="38" t="inlineStr">
        <is>
          <t>Casa Oxalis</t>
        </is>
      </c>
      <c r="C76" s="43" t="inlineStr">
        <is>
          <t>TS</t>
        </is>
      </c>
      <c r="D76" s="50" t="inlineStr">
        <is>
          <t>DISCUTIBLE</t>
        </is>
      </c>
      <c r="E76" s="39" t="n">
        <v>4500000</v>
      </c>
      <c r="F76" s="39" t="n">
        <v>4972200.67605024</v>
      </c>
    </row>
    <row r="77">
      <c r="A77" s="40" t="n">
        <v>59</v>
      </c>
      <c r="B77" s="38" t="inlineStr">
        <is>
          <t>Celina</t>
        </is>
      </c>
      <c r="C77" s="43" t="inlineStr">
        <is>
          <t>TS</t>
        </is>
      </c>
      <c r="D77" s="50" t="inlineStr">
        <is>
          <t>DISCUTIBLE</t>
        </is>
      </c>
      <c r="E77" s="39" t="n">
        <v>4500000</v>
      </c>
      <c r="F77" s="39" t="n">
        <v>4972200.67605024</v>
      </c>
    </row>
    <row r="78">
      <c r="A78" s="40" t="n">
        <v>60</v>
      </c>
      <c r="B78" s="38" t="inlineStr">
        <is>
          <t>Alamacén de carnes</t>
        </is>
      </c>
      <c r="C78" s="45" t="inlineStr">
        <is>
          <t>ZBB</t>
        </is>
      </c>
      <c r="D78" s="50" t="inlineStr">
        <is>
          <t>DISCUTIBLE</t>
        </is>
      </c>
      <c r="E78" s="39" t="n">
        <v>3000000</v>
      </c>
      <c r="F78" s="39" t="n">
        <v>3346983.315333758</v>
      </c>
    </row>
    <row r="79">
      <c r="A79" s="40" t="n">
        <v>61</v>
      </c>
      <c r="B79" s="38" t="inlineStr">
        <is>
          <t xml:space="preserve">Playas El Balcón </t>
        </is>
      </c>
      <c r="C79" s="43" t="inlineStr">
        <is>
          <t>TS</t>
        </is>
      </c>
      <c r="D79" s="50" t="inlineStr">
        <is>
          <t>DISCUTIBLE</t>
        </is>
      </c>
      <c r="E79" s="39" t="n">
        <v>3000000</v>
      </c>
      <c r="F79" s="39" t="n">
        <v>3314800.45070016</v>
      </c>
    </row>
    <row r="80">
      <c r="A80" s="40" t="n">
        <v>62</v>
      </c>
      <c r="B80" s="38" t="inlineStr">
        <is>
          <t xml:space="preserve">Baln 17 y 18 Princesa </t>
        </is>
      </c>
      <c r="C80" s="43" t="inlineStr">
        <is>
          <t>TS</t>
        </is>
      </c>
      <c r="D80" s="50" t="inlineStr">
        <is>
          <t>DISCUTIBLE</t>
        </is>
      </c>
      <c r="E80" s="39" t="n">
        <v>2600000</v>
      </c>
      <c r="F80" s="39" t="n">
        <v>2886695.893456408</v>
      </c>
    </row>
    <row r="81">
      <c r="A81" s="40" t="n">
        <v>63</v>
      </c>
      <c r="B81" s="38" t="inlineStr">
        <is>
          <t>Baln 3 y 4 Francisco</t>
        </is>
      </c>
      <c r="C81" s="43" t="inlineStr">
        <is>
          <t>TS</t>
        </is>
      </c>
      <c r="D81" s="50" t="inlineStr">
        <is>
          <t>DISCUTIBLE</t>
        </is>
      </c>
      <c r="E81" s="39" t="n">
        <v>2600000</v>
      </c>
      <c r="F81" s="39" t="n">
        <v>2886695.893456408</v>
      </c>
    </row>
    <row r="82">
      <c r="A82" s="40" t="n">
        <v>64</v>
      </c>
      <c r="B82" s="38" t="inlineStr">
        <is>
          <t>Baln 9 y 10 El Carmen</t>
        </is>
      </c>
      <c r="C82" s="43" t="inlineStr">
        <is>
          <t>TS</t>
        </is>
      </c>
      <c r="D82" s="50" t="inlineStr">
        <is>
          <t>DISCUTIBLE</t>
        </is>
      </c>
      <c r="E82" s="39" t="n">
        <v>2600000</v>
      </c>
      <c r="F82" s="39" t="n">
        <v>2886695.893456408</v>
      </c>
    </row>
    <row r="83">
      <c r="A83" s="40" t="n">
        <v>65</v>
      </c>
      <c r="B83" s="38" t="inlineStr">
        <is>
          <t>Balneario 21 y 24 Atlantis</t>
        </is>
      </c>
      <c r="C83" s="43" t="inlineStr">
        <is>
          <t>TS</t>
        </is>
      </c>
      <c r="D83" s="50" t="inlineStr">
        <is>
          <t>DISCUTIBLE</t>
        </is>
      </c>
      <c r="E83" s="39" t="n">
        <v>2600000</v>
      </c>
      <c r="F83" s="39" t="n">
        <v>2886695.893456408</v>
      </c>
    </row>
    <row r="84">
      <c r="A84" s="40" t="n">
        <v>66</v>
      </c>
      <c r="B84" s="38" t="inlineStr">
        <is>
          <t>Baln 1 Punta Mogotes</t>
        </is>
      </c>
      <c r="C84" s="43" t="inlineStr">
        <is>
          <t>TS</t>
        </is>
      </c>
      <c r="D84" s="50" t="inlineStr">
        <is>
          <t>DISCUTIBLE</t>
        </is>
      </c>
      <c r="E84" s="39" t="n">
        <v>1300000</v>
      </c>
      <c r="F84" s="39" t="n">
        <v>1443347.946728204</v>
      </c>
    </row>
    <row r="85">
      <c r="A85" s="40" t="n">
        <v>67</v>
      </c>
      <c r="B85" s="38" t="inlineStr">
        <is>
          <t xml:space="preserve">Baln 11 Ulises </t>
        </is>
      </c>
      <c r="C85" s="43" t="inlineStr">
        <is>
          <t>TS</t>
        </is>
      </c>
      <c r="D85" s="50" t="inlineStr">
        <is>
          <t>DISCUTIBLE</t>
        </is>
      </c>
      <c r="E85" s="39" t="n">
        <v>1300000</v>
      </c>
      <c r="F85" s="39" t="n">
        <v>1443347.946728204</v>
      </c>
    </row>
    <row r="86">
      <c r="A86" s="40" t="n">
        <v>68</v>
      </c>
      <c r="B86" s="38" t="inlineStr">
        <is>
          <t>Baln 14 Uthgra</t>
        </is>
      </c>
      <c r="C86" s="43" t="inlineStr">
        <is>
          <t>TS</t>
        </is>
      </c>
      <c r="D86" s="50" t="inlineStr">
        <is>
          <t>DISCUTIBLE</t>
        </is>
      </c>
      <c r="E86" s="39" t="n">
        <v>1300000</v>
      </c>
      <c r="F86" s="39" t="n">
        <v>1443347.946728204</v>
      </c>
    </row>
    <row r="87">
      <c r="A87" s="40" t="n">
        <v>69</v>
      </c>
      <c r="B87" s="38" t="inlineStr">
        <is>
          <t xml:space="preserve">Baln 15 Apolo </t>
        </is>
      </c>
      <c r="C87" s="43" t="inlineStr">
        <is>
          <t>TS</t>
        </is>
      </c>
      <c r="D87" s="50" t="inlineStr">
        <is>
          <t>DISCUTIBLE</t>
        </is>
      </c>
      <c r="E87" s="39" t="n">
        <v>1300000</v>
      </c>
      <c r="F87" s="39" t="n">
        <v>1443347.946728204</v>
      </c>
    </row>
    <row r="88">
      <c r="A88" s="40" t="n">
        <v>70</v>
      </c>
      <c r="B88" s="38" t="inlineStr">
        <is>
          <t>Baln 16 Hawai</t>
        </is>
      </c>
      <c r="C88" s="43" t="inlineStr">
        <is>
          <t>TS</t>
        </is>
      </c>
      <c r="D88" s="50" t="inlineStr">
        <is>
          <t>DISCUTIBLE</t>
        </is>
      </c>
      <c r="E88" s="39" t="n">
        <v>1300000</v>
      </c>
      <c r="F88" s="39" t="n">
        <v>1443347.946728204</v>
      </c>
    </row>
    <row r="89">
      <c r="A89" s="40" t="n">
        <v>71</v>
      </c>
      <c r="B89" s="38" t="inlineStr">
        <is>
          <t>Baln 19 Mar y Tenis</t>
        </is>
      </c>
      <c r="C89" s="43" t="inlineStr">
        <is>
          <t>TS</t>
        </is>
      </c>
      <c r="D89" s="50" t="inlineStr">
        <is>
          <t>DISCUTIBLE</t>
        </is>
      </c>
      <c r="E89" s="39" t="n">
        <v>1300000</v>
      </c>
      <c r="F89" s="39" t="n">
        <v>1443347.946728204</v>
      </c>
    </row>
    <row r="90">
      <c r="A90" s="40" t="n">
        <v>72</v>
      </c>
      <c r="B90" s="38" t="inlineStr">
        <is>
          <t xml:space="preserve">Baln 20 Meditarreo </t>
        </is>
      </c>
      <c r="C90" s="43" t="inlineStr">
        <is>
          <t>TS</t>
        </is>
      </c>
      <c r="D90" s="50" t="inlineStr">
        <is>
          <t>DISCUTIBLE</t>
        </is>
      </c>
      <c r="E90" s="39" t="n">
        <v>1300000</v>
      </c>
      <c r="F90" s="39" t="n">
        <v>1443347.946728204</v>
      </c>
    </row>
    <row r="91">
      <c r="A91" s="40" t="n">
        <v>73</v>
      </c>
      <c r="B91" s="38" t="inlineStr">
        <is>
          <t>Baln 22 Hurlingham Pta Mogotes</t>
        </is>
      </c>
      <c r="C91" s="43" t="inlineStr">
        <is>
          <t>TS</t>
        </is>
      </c>
      <c r="D91" s="50" t="inlineStr">
        <is>
          <t>DISCUTIBLE</t>
        </is>
      </c>
      <c r="E91" s="39" t="n">
        <v>1300000</v>
      </c>
      <c r="F91" s="39" t="n">
        <v>1443347.946728204</v>
      </c>
    </row>
    <row r="92">
      <c r="A92" s="40" t="n">
        <v>74</v>
      </c>
      <c r="B92" s="38" t="inlineStr">
        <is>
          <t>Baln 23 Carioca</t>
        </is>
      </c>
      <c r="C92" s="43" t="inlineStr">
        <is>
          <t>TS</t>
        </is>
      </c>
      <c r="D92" s="50" t="inlineStr">
        <is>
          <t>DISCUTIBLE</t>
        </is>
      </c>
      <c r="E92" s="39" t="n">
        <v>1300000</v>
      </c>
      <c r="F92" s="39" t="n">
        <v>1443347.946728204</v>
      </c>
    </row>
    <row r="93">
      <c r="A93" s="40" t="n">
        <v>75</v>
      </c>
      <c r="B93" s="38" t="inlineStr">
        <is>
          <t xml:space="preserve">Balneario 2 Alaciel </t>
        </is>
      </c>
      <c r="C93" s="43" t="inlineStr">
        <is>
          <t>TS</t>
        </is>
      </c>
      <c r="D93" s="50" t="inlineStr">
        <is>
          <t>DISCUTIBLE</t>
        </is>
      </c>
      <c r="E93" s="39" t="n">
        <v>1300000</v>
      </c>
      <c r="F93" s="39" t="n">
        <v>1443347.946728204</v>
      </c>
    </row>
    <row r="94">
      <c r="B94" s="46" t="inlineStr">
        <is>
          <t>TOTAL 67 CLIENTES QUE SE PIERDEN</t>
        </is>
      </c>
      <c r="E94" s="47">
        <f>SUM(E27:E93)</f>
        <v/>
      </c>
      <c r="F94" s="47">
        <f>SUM(F27:F93)</f>
        <v/>
      </c>
    </row>
    <row r="97">
      <c r="A97" s="42" t="inlineStr">
        <is>
          <t>ESCENARIO 2 - CLIENTES QUE ENTRAN (ZBB + adicional a conseguir)</t>
        </is>
      </c>
    </row>
    <row r="98" ht="26" customHeight="1" s="32">
      <c r="A98" s="36" t="inlineStr">
        <is>
          <t>Prioridad</t>
        </is>
      </c>
      <c r="B98" s="36" t="inlineStr">
        <is>
          <t>Cliente / PDV</t>
        </is>
      </c>
      <c r="C98" s="36" t="inlineStr">
        <is>
          <t>Bolsa</t>
        </is>
      </c>
      <c r="D98" s="36" t="inlineStr">
        <is>
          <t>Tier</t>
        </is>
      </c>
      <c r="E98" s="36" t="inlineStr">
        <is>
          <t>Monto FEE Actual</t>
        </is>
      </c>
      <c r="F98" s="36" t="inlineStr">
        <is>
          <t>Criterio 3 - Punto medio</t>
        </is>
      </c>
    </row>
    <row r="99">
      <c r="A99" s="40" t="n">
        <v>1</v>
      </c>
      <c r="B99" s="38" t="inlineStr">
        <is>
          <t>El Calamar Loco Chapa</t>
        </is>
      </c>
      <c r="C99" s="43" t="inlineStr">
        <is>
          <t>TS</t>
        </is>
      </c>
      <c r="D99" s="44" t="inlineStr">
        <is>
          <t>IMPERDIBLE</t>
        </is>
      </c>
      <c r="E99" s="39" t="n">
        <v>200000000</v>
      </c>
      <c r="F99" s="39" t="n">
        <v>220986696.713344</v>
      </c>
    </row>
    <row r="100">
      <c r="A100" s="40" t="n">
        <v>2</v>
      </c>
      <c r="B100" s="38" t="inlineStr">
        <is>
          <t>Mr Jones</t>
        </is>
      </c>
      <c r="C100" s="45" t="inlineStr">
        <is>
          <t>ZBB</t>
        </is>
      </c>
      <c r="D100" s="44" t="inlineStr">
        <is>
          <t>IMPERDIBLE</t>
        </is>
      </c>
      <c r="E100" s="39" t="n">
        <v>170000000</v>
      </c>
      <c r="F100" s="39" t="n">
        <v>239397586.0101022</v>
      </c>
    </row>
    <row r="101">
      <c r="A101" s="40" t="n">
        <v>3</v>
      </c>
      <c r="B101" s="38" t="inlineStr">
        <is>
          <t>Quba</t>
        </is>
      </c>
      <c r="C101" s="45" t="inlineStr">
        <is>
          <t>ZBB</t>
        </is>
      </c>
      <c r="D101" s="44" t="inlineStr">
        <is>
          <t>IMPERDIBLE</t>
        </is>
      </c>
      <c r="E101" s="39" t="n">
        <v>160000000</v>
      </c>
      <c r="F101" s="39" t="n">
        <v>225315375.0683315</v>
      </c>
    </row>
    <row r="102">
      <c r="A102" s="40" t="n">
        <v>4</v>
      </c>
      <c r="B102" s="38" t="inlineStr">
        <is>
          <t>Tante-Masse-La cabrera</t>
        </is>
      </c>
      <c r="C102" s="45" t="inlineStr">
        <is>
          <t>ZBB</t>
        </is>
      </c>
      <c r="D102" s="44" t="inlineStr">
        <is>
          <t>IMPERDIBLE</t>
        </is>
      </c>
      <c r="E102" s="39" t="n">
        <v>140000000</v>
      </c>
      <c r="F102" s="39" t="n">
        <v>197150953.1847901</v>
      </c>
    </row>
    <row r="103">
      <c r="A103" s="40" t="n">
        <v>5</v>
      </c>
      <c r="B103" s="38" t="inlineStr">
        <is>
          <t>Bruto</t>
        </is>
      </c>
      <c r="C103" s="45" t="inlineStr">
        <is>
          <t>ZBB</t>
        </is>
      </c>
      <c r="D103" s="44" t="inlineStr">
        <is>
          <t>IMPERDIBLE</t>
        </is>
      </c>
      <c r="E103" s="39" t="n">
        <v>95000000</v>
      </c>
      <c r="F103" s="39" t="n">
        <v>305360701.9568958</v>
      </c>
    </row>
    <row r="104">
      <c r="A104" s="40" t="n">
        <v>6</v>
      </c>
      <c r="B104" s="38" t="inlineStr">
        <is>
          <t>Samsara</t>
        </is>
      </c>
      <c r="C104" s="45" t="inlineStr">
        <is>
          <t>ZBB</t>
        </is>
      </c>
      <c r="D104" s="44" t="inlineStr">
        <is>
          <t>IMPERDIBLE</t>
        </is>
      </c>
      <c r="E104" s="39" t="n">
        <v>75000000</v>
      </c>
      <c r="F104" s="39" t="n">
        <v>105616582.0632804</v>
      </c>
    </row>
    <row r="105">
      <c r="A105" s="40" t="n">
        <v>7</v>
      </c>
      <c r="B105" s="38" t="inlineStr">
        <is>
          <t>La Gamba</t>
        </is>
      </c>
      <c r="C105" s="45" t="inlineStr">
        <is>
          <t>ZBB</t>
        </is>
      </c>
      <c r="D105" s="44" t="inlineStr">
        <is>
          <t>IMPERDIBLE</t>
        </is>
      </c>
      <c r="E105" s="39" t="n">
        <v>60000000</v>
      </c>
      <c r="F105" s="39" t="n">
        <v>84493265.65062431</v>
      </c>
    </row>
    <row r="106">
      <c r="A106" s="40" t="n">
        <v>8</v>
      </c>
      <c r="B106" s="38" t="inlineStr">
        <is>
          <t>Luna Roja</t>
        </is>
      </c>
      <c r="C106" s="43" t="inlineStr">
        <is>
          <t>TS</t>
        </is>
      </c>
      <c r="D106" s="44" t="inlineStr">
        <is>
          <t>IMPERDIBLE</t>
        </is>
      </c>
      <c r="E106" s="39" t="n">
        <v>60000000</v>
      </c>
      <c r="F106" s="39" t="n">
        <v>66296009.0140032</v>
      </c>
    </row>
    <row r="107">
      <c r="A107" s="40" t="n">
        <v>9</v>
      </c>
      <c r="B107" s="38" t="inlineStr">
        <is>
          <t>El Calamar Loco PG</t>
        </is>
      </c>
      <c r="C107" s="43" t="inlineStr">
        <is>
          <t>TS</t>
        </is>
      </c>
      <c r="D107" s="44" t="inlineStr">
        <is>
          <t>IMPERDIBLE</t>
        </is>
      </c>
      <c r="E107" s="39" t="n">
        <v>41000000</v>
      </c>
      <c r="F107" s="39" t="n">
        <v>46125000</v>
      </c>
    </row>
    <row r="108">
      <c r="A108" s="40" t="n">
        <v>10</v>
      </c>
      <c r="B108" s="38" t="inlineStr">
        <is>
          <t>Bendu</t>
        </is>
      </c>
      <c r="C108" s="43" t="inlineStr">
        <is>
          <t>TS</t>
        </is>
      </c>
      <c r="D108" s="44" t="inlineStr">
        <is>
          <t>IMPERDIBLE</t>
        </is>
      </c>
      <c r="E108" s="39" t="n">
        <v>40000000</v>
      </c>
      <c r="F108" s="39" t="n">
        <v>44197339.3426688</v>
      </c>
    </row>
    <row r="109">
      <c r="A109" s="40" t="n">
        <v>11</v>
      </c>
      <c r="B109" s="38" t="inlineStr">
        <is>
          <t xml:space="preserve">Pueblo Límite </t>
        </is>
      </c>
      <c r="C109" s="43" t="inlineStr">
        <is>
          <t>TS</t>
        </is>
      </c>
      <c r="D109" s="44" t="inlineStr">
        <is>
          <t>IMPERDIBLE</t>
        </is>
      </c>
      <c r="E109" s="39" t="n">
        <v>30000000</v>
      </c>
      <c r="F109" s="39" t="n">
        <v>33148004.5070016</v>
      </c>
    </row>
    <row r="110">
      <c r="A110" s="40" t="n">
        <v>12</v>
      </c>
      <c r="B110" s="38" t="inlineStr">
        <is>
          <t>Casa Pampa</t>
        </is>
      </c>
      <c r="C110" s="45" t="inlineStr">
        <is>
          <t>ZBB</t>
        </is>
      </c>
      <c r="D110" s="44" t="inlineStr">
        <is>
          <t>IMPERDIBLE</t>
        </is>
      </c>
      <c r="E110" s="39" t="n">
        <v>25000000</v>
      </c>
      <c r="F110" s="39" t="n">
        <v>35205527.3544268</v>
      </c>
    </row>
    <row r="111">
      <c r="B111" s="46" t="inlineStr">
        <is>
          <t>TOTAL 12 CLIENTES QUE ENTRAN</t>
        </is>
      </c>
      <c r="E111" s="47">
        <f>SUM(E99:E110)</f>
        <v/>
      </c>
      <c r="F111" s="47">
        <f>SUM(F99:F110)</f>
        <v/>
      </c>
    </row>
    <row r="113">
      <c r="A113" s="48" t="inlineStr">
        <is>
          <t>ESCENARIO 2 - CLIENTES QUE SE PIERDEN (ZBB + adicional a conseguir)</t>
        </is>
      </c>
    </row>
    <row r="114" ht="26" customHeight="1" s="32">
      <c r="A114" s="49" t="inlineStr">
        <is>
          <t>Prioridad</t>
        </is>
      </c>
      <c r="B114" s="49" t="inlineStr">
        <is>
          <t>Cliente / PDV</t>
        </is>
      </c>
      <c r="C114" s="49" t="inlineStr">
        <is>
          <t>Bolsa</t>
        </is>
      </c>
      <c r="D114" s="49" t="inlineStr">
        <is>
          <t>Tier</t>
        </is>
      </c>
      <c r="E114" s="49" t="inlineStr">
        <is>
          <t>Monto FEE Actual</t>
        </is>
      </c>
      <c r="F114" s="49" t="inlineStr">
        <is>
          <t>Criterio 3 - Punto medio</t>
        </is>
      </c>
    </row>
    <row r="115">
      <c r="A115" s="40" t="n">
        <v>13</v>
      </c>
      <c r="B115" s="38" t="inlineStr">
        <is>
          <t>ESTACION CENTRAL</t>
        </is>
      </c>
      <c r="C115" s="45" t="inlineStr">
        <is>
          <t>ZBB</t>
        </is>
      </c>
      <c r="D115" s="44" t="inlineStr">
        <is>
          <t>IMPERDIBLE</t>
        </is>
      </c>
      <c r="E115" s="39" t="n">
        <v>25000000</v>
      </c>
      <c r="F115" s="39" t="n">
        <v>67163494.03439189</v>
      </c>
    </row>
    <row r="116">
      <c r="A116" s="40" t="n">
        <v>14</v>
      </c>
      <c r="B116" s="38" t="inlineStr">
        <is>
          <t>Casa Mar</t>
        </is>
      </c>
      <c r="C116" s="43" t="inlineStr">
        <is>
          <t>TS</t>
        </is>
      </c>
      <c r="D116" s="44" t="inlineStr">
        <is>
          <t>IMPERDIBLE</t>
        </is>
      </c>
      <c r="E116" s="39" t="n">
        <v>17500000</v>
      </c>
      <c r="F116" s="39" t="n">
        <v>19336335.9624176</v>
      </c>
    </row>
    <row r="117">
      <c r="A117" s="40" t="n">
        <v>15</v>
      </c>
      <c r="B117" s="38" t="inlineStr">
        <is>
          <t>LOS TOLDOS VIEJOS</t>
        </is>
      </c>
      <c r="C117" s="45" t="inlineStr">
        <is>
          <t>ZBB</t>
        </is>
      </c>
      <c r="D117" s="44" t="inlineStr">
        <is>
          <t>IMPERDIBLE</t>
        </is>
      </c>
      <c r="E117" s="39" t="n">
        <v>16000000</v>
      </c>
      <c r="F117" s="39" t="n">
        <v>22531537.50683315</v>
      </c>
    </row>
    <row r="118">
      <c r="A118" s="40" t="n">
        <v>16</v>
      </c>
      <c r="B118" s="38" t="inlineStr">
        <is>
          <t>Villa Aluminé</t>
        </is>
      </c>
      <c r="C118" s="45" t="inlineStr">
        <is>
          <t>ZBB</t>
        </is>
      </c>
      <c r="D118" s="44" t="inlineStr">
        <is>
          <t>IMPERDIBLE</t>
        </is>
      </c>
      <c r="E118" s="39" t="n">
        <v>16000000</v>
      </c>
      <c r="F118" s="39" t="n">
        <v>22531537.50683315</v>
      </c>
    </row>
    <row r="119">
      <c r="A119" s="40" t="n">
        <v>17</v>
      </c>
      <c r="B119" s="38" t="inlineStr">
        <is>
          <t>EDV</t>
        </is>
      </c>
      <c r="C119" s="43" t="inlineStr">
        <is>
          <t>TS</t>
        </is>
      </c>
      <c r="D119" s="44" t="inlineStr">
        <is>
          <t>IMPERDIBLE</t>
        </is>
      </c>
      <c r="E119" s="39" t="n">
        <v>11000000</v>
      </c>
      <c r="F119" s="39" t="n">
        <v>12154268.31923392</v>
      </c>
    </row>
    <row r="120">
      <c r="A120" s="40" t="n">
        <v>18</v>
      </c>
      <c r="B120" s="38" t="inlineStr">
        <is>
          <t>Bosques del Faro</t>
        </is>
      </c>
      <c r="C120" s="43" t="inlineStr">
        <is>
          <t>TS</t>
        </is>
      </c>
      <c r="D120" s="44" t="inlineStr">
        <is>
          <t>IMPERDIBLE</t>
        </is>
      </c>
      <c r="E120" s="39" t="n">
        <v>10000000</v>
      </c>
      <c r="F120" s="39" t="n">
        <v>11049334.8356672</v>
      </c>
    </row>
    <row r="121">
      <c r="A121" s="40" t="n">
        <v>19</v>
      </c>
      <c r="B121" s="38" t="inlineStr">
        <is>
          <t>Cava Federal</t>
        </is>
      </c>
      <c r="C121" s="45" t="inlineStr">
        <is>
          <t>ZBB</t>
        </is>
      </c>
      <c r="D121" s="44" t="inlineStr">
        <is>
          <t>IMPERDIBLE</t>
        </is>
      </c>
      <c r="E121" s="39" t="n">
        <v>10000000</v>
      </c>
      <c r="F121" s="39" t="n">
        <v>14277033.40063945</v>
      </c>
    </row>
    <row r="122">
      <c r="A122" s="40" t="n">
        <v>20</v>
      </c>
      <c r="B122" s="38" t="inlineStr">
        <is>
          <t>Palma Bristo Amarras</t>
        </is>
      </c>
      <c r="C122" s="45" t="inlineStr">
        <is>
          <t>ZBB</t>
        </is>
      </c>
      <c r="D122" s="44" t="inlineStr">
        <is>
          <t>IMPERDIBLE</t>
        </is>
      </c>
      <c r="E122" s="39" t="n">
        <v>10000000</v>
      </c>
      <c r="F122" s="39" t="n">
        <v>26865397.61375675</v>
      </c>
    </row>
    <row r="123">
      <c r="A123" s="40" t="n">
        <v>21</v>
      </c>
      <c r="B123" s="38" t="inlineStr">
        <is>
          <t>Waikiki</t>
        </is>
      </c>
      <c r="C123" s="43" t="inlineStr">
        <is>
          <t>TS</t>
        </is>
      </c>
      <c r="D123" s="44" t="inlineStr">
        <is>
          <t>IMPERDIBLE</t>
        </is>
      </c>
      <c r="E123" s="39" t="n">
        <v>10000000</v>
      </c>
      <c r="F123" s="39" t="n">
        <v>11049334.8356672</v>
      </c>
    </row>
    <row r="124">
      <c r="A124" s="40" t="n">
        <v>22</v>
      </c>
      <c r="B124" s="38" t="inlineStr">
        <is>
          <t>Hemingway</t>
        </is>
      </c>
      <c r="C124" s="43" t="inlineStr">
        <is>
          <t>TS</t>
        </is>
      </c>
      <c r="D124" s="44" t="inlineStr">
        <is>
          <t>IMPERDIBLE</t>
        </is>
      </c>
      <c r="E124" s="39" t="n">
        <v>8000000</v>
      </c>
      <c r="F124" s="39" t="n">
        <v>8839467.86853376</v>
      </c>
    </row>
    <row r="125">
      <c r="A125" s="40" t="n">
        <v>23</v>
      </c>
      <c r="B125" s="38" t="inlineStr">
        <is>
          <t>Mattone</t>
        </is>
      </c>
      <c r="C125" s="45" t="inlineStr">
        <is>
          <t>ZBB</t>
        </is>
      </c>
      <c r="D125" s="44" t="inlineStr">
        <is>
          <t>IMPERDIBLE</t>
        </is>
      </c>
      <c r="E125" s="39" t="n">
        <v>6000000</v>
      </c>
      <c r="F125" s="39" t="n">
        <v>8449326.565062432</v>
      </c>
    </row>
    <row r="126">
      <c r="A126" s="40" t="n">
        <v>24</v>
      </c>
      <c r="B126" s="38" t="inlineStr">
        <is>
          <t>CR</t>
        </is>
      </c>
      <c r="C126" s="43" t="inlineStr">
        <is>
          <t>TS</t>
        </is>
      </c>
      <c r="D126" s="44" t="inlineStr">
        <is>
          <t>IMPERDIBLE</t>
        </is>
      </c>
      <c r="E126" s="39" t="n">
        <v>5000000</v>
      </c>
      <c r="F126" s="39" t="n">
        <v>5524667.4178336</v>
      </c>
    </row>
    <row r="127">
      <c r="A127" s="40" t="n">
        <v>25</v>
      </c>
      <c r="B127" s="38" t="inlineStr">
        <is>
          <t>DOS 55</t>
        </is>
      </c>
      <c r="C127" s="45" t="inlineStr">
        <is>
          <t>ZBB</t>
        </is>
      </c>
      <c r="D127" s="44" t="inlineStr">
        <is>
          <t>IMPERDIBLE</t>
        </is>
      </c>
      <c r="E127" s="39" t="n">
        <v>5000000</v>
      </c>
      <c r="F127" s="39" t="n">
        <v>5746521.257017586</v>
      </c>
    </row>
    <row r="128">
      <c r="A128" s="40" t="n">
        <v>26</v>
      </c>
      <c r="B128" s="38" t="inlineStr">
        <is>
          <t>SANTA</t>
        </is>
      </c>
      <c r="C128" s="45" t="inlineStr">
        <is>
          <t>ZBB</t>
        </is>
      </c>
      <c r="D128" s="44" t="inlineStr">
        <is>
          <t>IMPERDIBLE</t>
        </is>
      </c>
      <c r="E128" s="39" t="n">
        <v>5000000</v>
      </c>
      <c r="F128" s="39" t="n">
        <v>13432698.80687838</v>
      </c>
    </row>
    <row r="129">
      <c r="A129" s="40" t="n">
        <v>27</v>
      </c>
      <c r="B129" s="38" t="inlineStr">
        <is>
          <t>Surfer</t>
        </is>
      </c>
      <c r="C129" s="43" t="inlineStr">
        <is>
          <t>TS</t>
        </is>
      </c>
      <c r="D129" s="44" t="inlineStr">
        <is>
          <t>IMPERDIBLE</t>
        </is>
      </c>
      <c r="E129" s="39" t="n">
        <v>5000000</v>
      </c>
      <c r="F129" s="39" t="n">
        <v>5524667.4178336</v>
      </c>
    </row>
    <row r="130">
      <c r="A130" s="40" t="n">
        <v>28</v>
      </c>
      <c r="B130" s="38" t="inlineStr">
        <is>
          <t>Hondo</t>
        </is>
      </c>
      <c r="C130" s="45" t="inlineStr">
        <is>
          <t>ZBB</t>
        </is>
      </c>
      <c r="D130" s="44" t="inlineStr">
        <is>
          <t>IMPERDIBLE</t>
        </is>
      </c>
      <c r="E130" s="39" t="n">
        <v>4000000</v>
      </c>
      <c r="F130" s="39" t="n">
        <v>5658146.099396203</v>
      </c>
    </row>
    <row r="131">
      <c r="A131" s="40" t="n">
        <v>29</v>
      </c>
      <c r="B131" s="38" t="inlineStr">
        <is>
          <t>Negroni pinamar</t>
        </is>
      </c>
      <c r="C131" s="45" t="inlineStr">
        <is>
          <t>ZBB</t>
        </is>
      </c>
      <c r="D131" s="44" t="inlineStr">
        <is>
          <t>IMPERDIBLE</t>
        </is>
      </c>
      <c r="E131" s="39" t="n">
        <v>4000000</v>
      </c>
      <c r="F131" s="39" t="n">
        <v>5710813.36025578</v>
      </c>
    </row>
    <row r="132">
      <c r="A132" s="40" t="n">
        <v>30</v>
      </c>
      <c r="B132" s="38" t="inlineStr">
        <is>
          <t>Cooperativa de Pesca</t>
        </is>
      </c>
      <c r="C132" s="45" t="inlineStr">
        <is>
          <t>ZBB</t>
        </is>
      </c>
      <c r="D132" s="44" t="inlineStr">
        <is>
          <t>IMPERDIBLE</t>
        </is>
      </c>
      <c r="E132" s="39" t="n">
        <v>3500000</v>
      </c>
      <c r="F132" s="39" t="n">
        <v>5279733.917199708</v>
      </c>
    </row>
    <row r="133">
      <c r="A133" s="40" t="n">
        <v>31</v>
      </c>
      <c r="B133" s="38" t="inlineStr">
        <is>
          <t>Kai Bar</t>
        </is>
      </c>
      <c r="C133" s="43" t="inlineStr">
        <is>
          <t>TS</t>
        </is>
      </c>
      <c r="D133" s="44" t="inlineStr">
        <is>
          <t>IMPERDIBLE</t>
        </is>
      </c>
      <c r="E133" s="39" t="n">
        <v>2200000</v>
      </c>
      <c r="F133" s="39" t="n">
        <v>2430853.663846784</v>
      </c>
    </row>
    <row r="134">
      <c r="A134" s="40" t="n">
        <v>32</v>
      </c>
      <c r="B134" s="38" t="inlineStr">
        <is>
          <t xml:space="preserve">Parentela </t>
        </is>
      </c>
      <c r="C134" s="43" t="inlineStr">
        <is>
          <t>TS</t>
        </is>
      </c>
      <c r="D134" s="44" t="inlineStr">
        <is>
          <t>IMPERDIBLE</t>
        </is>
      </c>
      <c r="E134" s="39" t="n">
        <v>1200000</v>
      </c>
      <c r="F134" s="39" t="n">
        <v>1280131.573170863</v>
      </c>
    </row>
    <row r="135">
      <c r="A135" s="40" t="n">
        <v>33</v>
      </c>
      <c r="B135" s="38" t="inlineStr">
        <is>
          <t>La Normandina</t>
        </is>
      </c>
      <c r="C135" s="43" t="inlineStr">
        <is>
          <t>TS</t>
        </is>
      </c>
      <c r="D135" s="50" t="inlineStr">
        <is>
          <t>DISCUTIBLE</t>
        </is>
      </c>
      <c r="E135" s="39" t="n">
        <v>70000000</v>
      </c>
      <c r="F135" s="39" t="n">
        <v>77345343.84967041</v>
      </c>
    </row>
    <row r="136">
      <c r="A136" s="40" t="n">
        <v>34</v>
      </c>
      <c r="B136" s="38" t="inlineStr">
        <is>
          <t>Brothers</t>
        </is>
      </c>
      <c r="C136" s="45" t="inlineStr">
        <is>
          <t>ZBB</t>
        </is>
      </c>
      <c r="D136" s="50" t="inlineStr">
        <is>
          <t>DISCUTIBLE</t>
        </is>
      </c>
      <c r="E136" s="39" t="n">
        <v>65000000</v>
      </c>
      <c r="F136" s="39" t="n">
        <v>91944874.1151883</v>
      </c>
    </row>
    <row r="137">
      <c r="A137" s="40" t="n">
        <v>35</v>
      </c>
      <c r="B137" s="38" t="inlineStr">
        <is>
          <t>Camping Americano</t>
        </is>
      </c>
      <c r="C137" s="45" t="inlineStr">
        <is>
          <t>ZBB</t>
        </is>
      </c>
      <c r="D137" s="50" t="inlineStr">
        <is>
          <t>DISCUTIBLE</t>
        </is>
      </c>
      <c r="E137" s="39" t="n">
        <v>11000000</v>
      </c>
      <c r="F137" s="39" t="n">
        <v>15559901.77333955</v>
      </c>
    </row>
    <row r="138">
      <c r="A138" s="40" t="n">
        <v>36</v>
      </c>
      <c r="B138" s="38" t="inlineStr">
        <is>
          <t>Mambrú</t>
        </is>
      </c>
      <c r="C138" s="45" t="inlineStr">
        <is>
          <t>ZBB</t>
        </is>
      </c>
      <c r="D138" s="50" t="inlineStr">
        <is>
          <t>DISCUTIBLE</t>
        </is>
      </c>
      <c r="E138" s="39" t="n">
        <v>8000000</v>
      </c>
      <c r="F138" s="39" t="n">
        <v>11265768.75341658</v>
      </c>
    </row>
    <row r="139">
      <c r="A139" s="40" t="n">
        <v>37</v>
      </c>
      <c r="B139" s="38" t="inlineStr">
        <is>
          <t>El Condor</t>
        </is>
      </c>
      <c r="C139" s="43" t="inlineStr">
        <is>
          <t>TS</t>
        </is>
      </c>
      <c r="D139" s="50" t="inlineStr">
        <is>
          <t>DISCUTIBLE</t>
        </is>
      </c>
      <c r="E139" s="39" t="n">
        <v>2200000</v>
      </c>
      <c r="F139" s="39" t="n">
        <v>2430853.663846784</v>
      </c>
    </row>
    <row r="140">
      <c r="A140" s="40" t="n">
        <v>38</v>
      </c>
      <c r="B140" s="38" t="inlineStr">
        <is>
          <t xml:space="preserve">Olivo </t>
        </is>
      </c>
      <c r="C140" s="43" t="inlineStr">
        <is>
          <t>TS</t>
        </is>
      </c>
      <c r="D140" s="50" t="inlineStr">
        <is>
          <t>DISCUTIBLE</t>
        </is>
      </c>
      <c r="E140" s="39" t="n">
        <v>1800000</v>
      </c>
      <c r="F140" s="39" t="n">
        <v>1988880.270420096</v>
      </c>
    </row>
    <row r="141">
      <c r="A141" s="40" t="n">
        <v>39</v>
      </c>
      <c r="B141" s="38" t="inlineStr">
        <is>
          <t>NEREA</t>
        </is>
      </c>
      <c r="C141" s="45" t="inlineStr">
        <is>
          <t>ZBB</t>
        </is>
      </c>
      <c r="D141" s="50" t="inlineStr">
        <is>
          <t>DISCUTIBLE</t>
        </is>
      </c>
      <c r="E141" s="39" t="n">
        <v>1700000</v>
      </c>
      <c r="F141" s="39" t="n">
        <v>2404712.092243386</v>
      </c>
    </row>
    <row r="142">
      <c r="A142" s="40" t="n">
        <v>40</v>
      </c>
      <c r="B142" s="38" t="inlineStr">
        <is>
          <t>El Taino</t>
        </is>
      </c>
      <c r="C142" s="43" t="inlineStr">
        <is>
          <t>TS</t>
        </is>
      </c>
      <c r="D142" s="50" t="inlineStr">
        <is>
          <t>DISCUTIBLE</t>
        </is>
      </c>
      <c r="E142" s="39" t="n">
        <v>1200000</v>
      </c>
      <c r="F142" s="39" t="n">
        <v>1325920.180280064</v>
      </c>
    </row>
    <row r="143">
      <c r="A143" s="40" t="n">
        <v>41</v>
      </c>
      <c r="B143" s="38" t="inlineStr">
        <is>
          <t>Lo de Fran</t>
        </is>
      </c>
      <c r="C143" s="45" t="inlineStr">
        <is>
          <t>ZBB</t>
        </is>
      </c>
      <c r="D143" s="50" t="inlineStr">
        <is>
          <t>DISCUTIBLE</t>
        </is>
      </c>
      <c r="E143" s="39" t="n">
        <v>21000000</v>
      </c>
      <c r="F143" s="39" t="n">
        <v>30553931.69969488</v>
      </c>
    </row>
    <row r="144">
      <c r="A144" s="40" t="n">
        <v>42</v>
      </c>
      <c r="B144" s="38" t="inlineStr">
        <is>
          <t>El Bar</t>
        </is>
      </c>
      <c r="C144" s="43" t="inlineStr">
        <is>
          <t>TS</t>
        </is>
      </c>
      <c r="D144" s="50" t="inlineStr">
        <is>
          <t>DISCUTIBLE</t>
        </is>
      </c>
      <c r="E144" s="39" t="n">
        <v>20000000</v>
      </c>
      <c r="F144" s="39" t="n">
        <v>22098669.6713344</v>
      </c>
    </row>
    <row r="145">
      <c r="A145" s="40" t="n">
        <v>43</v>
      </c>
      <c r="B145" s="38" t="inlineStr">
        <is>
          <t>Espacio Pueyrredón</t>
        </is>
      </c>
      <c r="C145" s="43" t="inlineStr">
        <is>
          <t>TS</t>
        </is>
      </c>
      <c r="D145" s="50" t="inlineStr">
        <is>
          <t>DISCUTIBLE</t>
        </is>
      </c>
      <c r="E145" s="39" t="n">
        <v>17000000</v>
      </c>
      <c r="F145" s="39" t="n">
        <v>18518040.38184841</v>
      </c>
    </row>
    <row r="146">
      <c r="A146" s="40" t="n">
        <v>44</v>
      </c>
      <c r="B146" s="38" t="inlineStr">
        <is>
          <t>Honu Beach</t>
        </is>
      </c>
      <c r="C146" s="43" t="inlineStr">
        <is>
          <t>TS</t>
        </is>
      </c>
      <c r="D146" s="50" t="inlineStr">
        <is>
          <t>DISCUTIBLE</t>
        </is>
      </c>
      <c r="E146" s="39" t="n">
        <v>15000000</v>
      </c>
      <c r="F146" s="39" t="n">
        <v>16875000</v>
      </c>
    </row>
    <row r="147">
      <c r="A147" s="40" t="n">
        <v>45</v>
      </c>
      <c r="B147" s="38" t="inlineStr">
        <is>
          <t>mama Concert</t>
        </is>
      </c>
      <c r="C147" s="45" t="inlineStr">
        <is>
          <t>ZBB</t>
        </is>
      </c>
      <c r="D147" s="50" t="inlineStr">
        <is>
          <t>DISCUTIBLE</t>
        </is>
      </c>
      <c r="E147" s="39" t="n">
        <v>15000000</v>
      </c>
      <c r="F147" s="39" t="n">
        <v>46693265.65062431</v>
      </c>
    </row>
    <row r="148">
      <c r="A148" s="40" t="n">
        <v>46</v>
      </c>
      <c r="B148" s="38" t="inlineStr">
        <is>
          <t>Mirador Tandil</t>
        </is>
      </c>
      <c r="C148" s="45" t="inlineStr">
        <is>
          <t>ZBB</t>
        </is>
      </c>
      <c r="D148" s="50" t="inlineStr">
        <is>
          <t>DISCUTIBLE</t>
        </is>
      </c>
      <c r="E148" s="39" t="n">
        <v>15000000</v>
      </c>
      <c r="F148" s="39" t="n">
        <v>21123316.41265608</v>
      </c>
    </row>
    <row r="149">
      <c r="A149" s="40" t="n">
        <v>47</v>
      </c>
      <c r="B149" s="38" t="inlineStr">
        <is>
          <t>Newbery</t>
        </is>
      </c>
      <c r="C149" s="43" t="inlineStr">
        <is>
          <t>TS</t>
        </is>
      </c>
      <c r="D149" s="50" t="inlineStr">
        <is>
          <t>DISCUTIBLE</t>
        </is>
      </c>
      <c r="E149" s="39" t="n">
        <v>14000000</v>
      </c>
      <c r="F149" s="39" t="n">
        <v>15469068.76993408</v>
      </c>
    </row>
    <row r="150">
      <c r="A150" s="40" t="n">
        <v>48</v>
      </c>
      <c r="B150" s="38" t="inlineStr">
        <is>
          <t>Barra Beach</t>
        </is>
      </c>
      <c r="C150" s="43" t="inlineStr">
        <is>
          <t>TS</t>
        </is>
      </c>
      <c r="D150" s="50" t="inlineStr">
        <is>
          <t>DISCUTIBLE</t>
        </is>
      </c>
      <c r="E150" s="39" t="n">
        <v>12000000</v>
      </c>
      <c r="F150" s="39" t="n">
        <v>13259201.80280064</v>
      </c>
    </row>
    <row r="151">
      <c r="A151" s="40" t="n">
        <v>49</v>
      </c>
      <c r="B151" s="38" t="inlineStr">
        <is>
          <t>Break 197</t>
        </is>
      </c>
      <c r="C151" s="43" t="inlineStr">
        <is>
          <t>TS</t>
        </is>
      </c>
      <c r="D151" s="50" t="inlineStr">
        <is>
          <t>DISCUTIBLE</t>
        </is>
      </c>
      <c r="E151" s="39" t="n">
        <v>11500000</v>
      </c>
      <c r="F151" s="39" t="n">
        <v>12706735.06101728</v>
      </c>
    </row>
    <row r="152">
      <c r="A152" s="40" t="n">
        <v>50</v>
      </c>
      <c r="B152" s="38" t="inlineStr">
        <is>
          <t>La Reserva</t>
        </is>
      </c>
      <c r="C152" s="43" t="inlineStr">
        <is>
          <t>TS</t>
        </is>
      </c>
      <c r="D152" s="50" t="inlineStr">
        <is>
          <t>DISCUTIBLE</t>
        </is>
      </c>
      <c r="E152" s="39" t="n">
        <v>10000000</v>
      </c>
      <c r="F152" s="39" t="n">
        <v>11049334.8356672</v>
      </c>
    </row>
    <row r="153">
      <c r="A153" s="40" t="n">
        <v>51</v>
      </c>
      <c r="B153" s="38" t="inlineStr">
        <is>
          <t>Pontevedra/Di Mero/Membrillo/Brasa</t>
        </is>
      </c>
      <c r="C153" s="45" t="inlineStr">
        <is>
          <t>ZBB</t>
        </is>
      </c>
      <c r="D153" s="50" t="inlineStr">
        <is>
          <t>DISCUTIBLE</t>
        </is>
      </c>
      <c r="E153" s="39" t="n">
        <v>10000000</v>
      </c>
      <c r="F153" s="39" t="n">
        <v>14082210.94177071</v>
      </c>
    </row>
    <row r="154">
      <c r="A154" s="40" t="n">
        <v>52</v>
      </c>
      <c r="B154" s="38" t="inlineStr">
        <is>
          <t>Tiki Bar</t>
        </is>
      </c>
      <c r="C154" s="43" t="inlineStr">
        <is>
          <t>TS</t>
        </is>
      </c>
      <c r="D154" s="50" t="inlineStr">
        <is>
          <t>DISCUTIBLE</t>
        </is>
      </c>
      <c r="E154" s="39" t="n">
        <v>8000000</v>
      </c>
      <c r="F154" s="39" t="n">
        <v>8839467.86853376</v>
      </c>
    </row>
    <row r="155">
      <c r="A155" s="40" t="n">
        <v>53</v>
      </c>
      <c r="B155" s="38" t="inlineStr">
        <is>
          <t>El Soleado</t>
        </is>
      </c>
      <c r="C155" s="43" t="inlineStr">
        <is>
          <t>TS</t>
        </is>
      </c>
      <c r="D155" s="50" t="inlineStr">
        <is>
          <t>DISCUTIBLE</t>
        </is>
      </c>
      <c r="E155" s="39" t="n">
        <v>7800000</v>
      </c>
      <c r="F155" s="39" t="n">
        <v>8618481.171820417</v>
      </c>
    </row>
    <row r="156">
      <c r="A156" s="40" t="n">
        <v>54</v>
      </c>
      <c r="B156" s="38" t="inlineStr">
        <is>
          <t>Parque Mogotes</t>
        </is>
      </c>
      <c r="C156" s="43" t="inlineStr">
        <is>
          <t>TS</t>
        </is>
      </c>
      <c r="D156" s="50" t="inlineStr">
        <is>
          <t>DISCUTIBLE</t>
        </is>
      </c>
      <c r="E156" s="39" t="n">
        <v>7000000</v>
      </c>
      <c r="F156" s="39" t="n">
        <v>7625075.451349346</v>
      </c>
    </row>
    <row r="157">
      <c r="A157" s="40" t="n">
        <v>55</v>
      </c>
      <c r="B157" s="38" t="inlineStr">
        <is>
          <t>Hamburguesería Weiss</t>
        </is>
      </c>
      <c r="C157" s="45" t="inlineStr">
        <is>
          <t>ZBB</t>
        </is>
      </c>
      <c r="D157" s="50" t="inlineStr">
        <is>
          <t>DISCUTIBLE</t>
        </is>
      </c>
      <c r="E157" s="39" t="n">
        <v>6000000</v>
      </c>
      <c r="F157" s="39" t="n">
        <v>8213142.307718277</v>
      </c>
    </row>
    <row r="158">
      <c r="A158" s="40" t="n">
        <v>56</v>
      </c>
      <c r="B158" s="38" t="inlineStr">
        <is>
          <t xml:space="preserve">El Descorche </t>
        </is>
      </c>
      <c r="C158" s="45" t="inlineStr">
        <is>
          <t>ZBB</t>
        </is>
      </c>
      <c r="D158" s="50" t="inlineStr">
        <is>
          <t>DISCUTIBLE</t>
        </is>
      </c>
      <c r="E158" s="39" t="n">
        <v>5800000</v>
      </c>
      <c r="F158" s="39" t="n">
        <v>8358797.036751958</v>
      </c>
    </row>
    <row r="159">
      <c r="A159" s="40" t="n">
        <v>57</v>
      </c>
      <c r="B159" s="38" t="inlineStr">
        <is>
          <t>Baln 5,6,7 y 8 ACA</t>
        </is>
      </c>
      <c r="C159" s="43" t="inlineStr">
        <is>
          <t>TS</t>
        </is>
      </c>
      <c r="D159" s="50" t="inlineStr">
        <is>
          <t>DISCUTIBLE</t>
        </is>
      </c>
      <c r="E159" s="39" t="n">
        <v>5200000</v>
      </c>
      <c r="F159" s="39" t="n">
        <v>5773391.786912816</v>
      </c>
    </row>
    <row r="160">
      <c r="A160" s="40" t="n">
        <v>58</v>
      </c>
      <c r="B160" s="38" t="inlineStr">
        <is>
          <t>Casa Oxalis</t>
        </is>
      </c>
      <c r="C160" s="43" t="inlineStr">
        <is>
          <t>TS</t>
        </is>
      </c>
      <c r="D160" s="50" t="inlineStr">
        <is>
          <t>DISCUTIBLE</t>
        </is>
      </c>
      <c r="E160" s="39" t="n">
        <v>4500000</v>
      </c>
      <c r="F160" s="39" t="n">
        <v>4972200.67605024</v>
      </c>
    </row>
    <row r="161">
      <c r="A161" s="40" t="n">
        <v>59</v>
      </c>
      <c r="B161" s="38" t="inlineStr">
        <is>
          <t>Celina</t>
        </is>
      </c>
      <c r="C161" s="43" t="inlineStr">
        <is>
          <t>TS</t>
        </is>
      </c>
      <c r="D161" s="50" t="inlineStr">
        <is>
          <t>DISCUTIBLE</t>
        </is>
      </c>
      <c r="E161" s="39" t="n">
        <v>4500000</v>
      </c>
      <c r="F161" s="39" t="n">
        <v>4972200.67605024</v>
      </c>
    </row>
    <row r="162">
      <c r="A162" s="40" t="n">
        <v>60</v>
      </c>
      <c r="B162" s="38" t="inlineStr">
        <is>
          <t>Alamacén de carnes</t>
        </is>
      </c>
      <c r="C162" s="45" t="inlineStr">
        <is>
          <t>ZBB</t>
        </is>
      </c>
      <c r="D162" s="50" t="inlineStr">
        <is>
          <t>DISCUTIBLE</t>
        </is>
      </c>
      <c r="E162" s="39" t="n">
        <v>3000000</v>
      </c>
      <c r="F162" s="39" t="n">
        <v>3346983.315333758</v>
      </c>
    </row>
    <row r="163">
      <c r="A163" s="40" t="n">
        <v>61</v>
      </c>
      <c r="B163" s="38" t="inlineStr">
        <is>
          <t xml:space="preserve">Playas El Balcón </t>
        </is>
      </c>
      <c r="C163" s="43" t="inlineStr">
        <is>
          <t>TS</t>
        </is>
      </c>
      <c r="D163" s="50" t="inlineStr">
        <is>
          <t>DISCUTIBLE</t>
        </is>
      </c>
      <c r="E163" s="39" t="n">
        <v>3000000</v>
      </c>
      <c r="F163" s="39" t="n">
        <v>3314800.45070016</v>
      </c>
    </row>
    <row r="164">
      <c r="A164" s="40" t="n">
        <v>62</v>
      </c>
      <c r="B164" s="38" t="inlineStr">
        <is>
          <t xml:space="preserve">Baln 17 y 18 Princesa </t>
        </is>
      </c>
      <c r="C164" s="43" t="inlineStr">
        <is>
          <t>TS</t>
        </is>
      </c>
      <c r="D164" s="50" t="inlineStr">
        <is>
          <t>DISCUTIBLE</t>
        </is>
      </c>
      <c r="E164" s="39" t="n">
        <v>2600000</v>
      </c>
      <c r="F164" s="39" t="n">
        <v>2886695.893456408</v>
      </c>
    </row>
    <row r="165">
      <c r="A165" s="40" t="n">
        <v>63</v>
      </c>
      <c r="B165" s="38" t="inlineStr">
        <is>
          <t>Baln 3 y 4 Francisco</t>
        </is>
      </c>
      <c r="C165" s="43" t="inlineStr">
        <is>
          <t>TS</t>
        </is>
      </c>
      <c r="D165" s="50" t="inlineStr">
        <is>
          <t>DISCUTIBLE</t>
        </is>
      </c>
      <c r="E165" s="39" t="n">
        <v>2600000</v>
      </c>
      <c r="F165" s="39" t="n">
        <v>2886695.893456408</v>
      </c>
    </row>
    <row r="166">
      <c r="A166" s="40" t="n">
        <v>64</v>
      </c>
      <c r="B166" s="38" t="inlineStr">
        <is>
          <t>Baln 9 y 10 El Carmen</t>
        </is>
      </c>
      <c r="C166" s="43" t="inlineStr">
        <is>
          <t>TS</t>
        </is>
      </c>
      <c r="D166" s="50" t="inlineStr">
        <is>
          <t>DISCUTIBLE</t>
        </is>
      </c>
      <c r="E166" s="39" t="n">
        <v>2600000</v>
      </c>
      <c r="F166" s="39" t="n">
        <v>2886695.893456408</v>
      </c>
    </row>
    <row r="167">
      <c r="A167" s="40" t="n">
        <v>65</v>
      </c>
      <c r="B167" s="38" t="inlineStr">
        <is>
          <t>Balneario 21 y 24 Atlantis</t>
        </is>
      </c>
      <c r="C167" s="43" t="inlineStr">
        <is>
          <t>TS</t>
        </is>
      </c>
      <c r="D167" s="50" t="inlineStr">
        <is>
          <t>DISCUTIBLE</t>
        </is>
      </c>
      <c r="E167" s="39" t="n">
        <v>2600000</v>
      </c>
      <c r="F167" s="39" t="n">
        <v>2886695.893456408</v>
      </c>
    </row>
    <row r="168">
      <c r="A168" s="40" t="n">
        <v>66</v>
      </c>
      <c r="B168" s="38" t="inlineStr">
        <is>
          <t>Baln 1 Punta Mogotes</t>
        </is>
      </c>
      <c r="C168" s="43" t="inlineStr">
        <is>
          <t>TS</t>
        </is>
      </c>
      <c r="D168" s="50" t="inlineStr">
        <is>
          <t>DISCUTIBLE</t>
        </is>
      </c>
      <c r="E168" s="39" t="n">
        <v>1300000</v>
      </c>
      <c r="F168" s="39" t="n">
        <v>1443347.946728204</v>
      </c>
    </row>
    <row r="169">
      <c r="A169" s="40" t="n">
        <v>67</v>
      </c>
      <c r="B169" s="38" t="inlineStr">
        <is>
          <t xml:space="preserve">Baln 11 Ulises </t>
        </is>
      </c>
      <c r="C169" s="43" t="inlineStr">
        <is>
          <t>TS</t>
        </is>
      </c>
      <c r="D169" s="50" t="inlineStr">
        <is>
          <t>DISCUTIBLE</t>
        </is>
      </c>
      <c r="E169" s="39" t="n">
        <v>1300000</v>
      </c>
      <c r="F169" s="39" t="n">
        <v>1443347.946728204</v>
      </c>
    </row>
    <row r="170">
      <c r="A170" s="40" t="n">
        <v>68</v>
      </c>
      <c r="B170" s="38" t="inlineStr">
        <is>
          <t>Baln 14 Uthgra</t>
        </is>
      </c>
      <c r="C170" s="43" t="inlineStr">
        <is>
          <t>TS</t>
        </is>
      </c>
      <c r="D170" s="50" t="inlineStr">
        <is>
          <t>DISCUTIBLE</t>
        </is>
      </c>
      <c r="E170" s="39" t="n">
        <v>1300000</v>
      </c>
      <c r="F170" s="39" t="n">
        <v>1443347.946728204</v>
      </c>
    </row>
    <row r="171">
      <c r="A171" s="40" t="n">
        <v>69</v>
      </c>
      <c r="B171" s="38" t="inlineStr">
        <is>
          <t xml:space="preserve">Baln 15 Apolo </t>
        </is>
      </c>
      <c r="C171" s="43" t="inlineStr">
        <is>
          <t>TS</t>
        </is>
      </c>
      <c r="D171" s="50" t="inlineStr">
        <is>
          <t>DISCUTIBLE</t>
        </is>
      </c>
      <c r="E171" s="39" t="n">
        <v>1300000</v>
      </c>
      <c r="F171" s="39" t="n">
        <v>1443347.946728204</v>
      </c>
    </row>
    <row r="172">
      <c r="A172" s="40" t="n">
        <v>70</v>
      </c>
      <c r="B172" s="38" t="inlineStr">
        <is>
          <t>Baln 16 Hawai</t>
        </is>
      </c>
      <c r="C172" s="43" t="inlineStr">
        <is>
          <t>TS</t>
        </is>
      </c>
      <c r="D172" s="50" t="inlineStr">
        <is>
          <t>DISCUTIBLE</t>
        </is>
      </c>
      <c r="E172" s="39" t="n">
        <v>1300000</v>
      </c>
      <c r="F172" s="39" t="n">
        <v>1443347.946728204</v>
      </c>
    </row>
    <row r="173">
      <c r="A173" s="40" t="n">
        <v>71</v>
      </c>
      <c r="B173" s="38" t="inlineStr">
        <is>
          <t>Baln 19 Mar y Tenis</t>
        </is>
      </c>
      <c r="C173" s="43" t="inlineStr">
        <is>
          <t>TS</t>
        </is>
      </c>
      <c r="D173" s="50" t="inlineStr">
        <is>
          <t>DISCUTIBLE</t>
        </is>
      </c>
      <c r="E173" s="39" t="n">
        <v>1300000</v>
      </c>
      <c r="F173" s="39" t="n">
        <v>1443347.946728204</v>
      </c>
    </row>
    <row r="174">
      <c r="A174" s="40" t="n">
        <v>72</v>
      </c>
      <c r="B174" s="38" t="inlineStr">
        <is>
          <t xml:space="preserve">Baln 20 Meditarreo </t>
        </is>
      </c>
      <c r="C174" s="43" t="inlineStr">
        <is>
          <t>TS</t>
        </is>
      </c>
      <c r="D174" s="50" t="inlineStr">
        <is>
          <t>DISCUTIBLE</t>
        </is>
      </c>
      <c r="E174" s="39" t="n">
        <v>1300000</v>
      </c>
      <c r="F174" s="39" t="n">
        <v>1443347.946728204</v>
      </c>
    </row>
    <row r="175">
      <c r="A175" s="40" t="n">
        <v>73</v>
      </c>
      <c r="B175" s="38" t="inlineStr">
        <is>
          <t>Baln 22 Hurlingham Pta Mogotes</t>
        </is>
      </c>
      <c r="C175" s="43" t="inlineStr">
        <is>
          <t>TS</t>
        </is>
      </c>
      <c r="D175" s="50" t="inlineStr">
        <is>
          <t>DISCUTIBLE</t>
        </is>
      </c>
      <c r="E175" s="39" t="n">
        <v>1300000</v>
      </c>
      <c r="F175" s="39" t="n">
        <v>1443347.946728204</v>
      </c>
    </row>
    <row r="176">
      <c r="A176" s="40" t="n">
        <v>74</v>
      </c>
      <c r="B176" s="38" t="inlineStr">
        <is>
          <t>Baln 23 Carioca</t>
        </is>
      </c>
      <c r="C176" s="43" t="inlineStr">
        <is>
          <t>TS</t>
        </is>
      </c>
      <c r="D176" s="50" t="inlineStr">
        <is>
          <t>DISCUTIBLE</t>
        </is>
      </c>
      <c r="E176" s="39" t="n">
        <v>1300000</v>
      </c>
      <c r="F176" s="39" t="n">
        <v>1443347.946728204</v>
      </c>
    </row>
    <row r="177">
      <c r="A177" s="40" t="n">
        <v>75</v>
      </c>
      <c r="B177" s="38" t="inlineStr">
        <is>
          <t xml:space="preserve">Balneario 2 Alaciel </t>
        </is>
      </c>
      <c r="C177" s="43" t="inlineStr">
        <is>
          <t>TS</t>
        </is>
      </c>
      <c r="D177" s="50" t="inlineStr">
        <is>
          <t>DISCUTIBLE</t>
        </is>
      </c>
      <c r="E177" s="39" t="n">
        <v>1300000</v>
      </c>
      <c r="F177" s="39" t="n">
        <v>1443347.946728204</v>
      </c>
    </row>
    <row r="178">
      <c r="B178" s="46" t="inlineStr">
        <is>
          <t>TOTAL 63 CLIENTES QUE SE PIERDEN</t>
        </is>
      </c>
      <c r="E178" s="47">
        <f>SUM(E115:E177)</f>
        <v/>
      </c>
      <c r="F178" s="47">
        <f>SUM(F115:F177)</f>
        <v/>
      </c>
    </row>
    <row r="181">
      <c r="A181" s="42" t="inlineStr">
        <is>
          <t>ESCENARIO 3 - CLIENTES QUE ENTRAN (ZBB + Trade Spend - presupuesto total)</t>
        </is>
      </c>
    </row>
    <row r="182" ht="26" customHeight="1" s="32">
      <c r="A182" s="36" t="inlineStr">
        <is>
          <t>Prioridad</t>
        </is>
      </c>
      <c r="B182" s="36" t="inlineStr">
        <is>
          <t>Cliente / PDV</t>
        </is>
      </c>
      <c r="C182" s="36" t="inlineStr">
        <is>
          <t>Bolsa</t>
        </is>
      </c>
      <c r="D182" s="36" t="inlineStr">
        <is>
          <t>Tier</t>
        </is>
      </c>
      <c r="E182" s="36" t="inlineStr">
        <is>
          <t>Monto FEE Actual</t>
        </is>
      </c>
      <c r="F182" s="36" t="inlineStr">
        <is>
          <t>Criterio 3 - Punto medio</t>
        </is>
      </c>
    </row>
    <row r="183">
      <c r="A183" s="40" t="n">
        <v>1</v>
      </c>
      <c r="B183" s="38" t="inlineStr">
        <is>
          <t>El Calamar Loco Chapa</t>
        </is>
      </c>
      <c r="C183" s="43" t="inlineStr">
        <is>
          <t>TS</t>
        </is>
      </c>
      <c r="D183" s="44" t="inlineStr">
        <is>
          <t>IMPERDIBLE</t>
        </is>
      </c>
      <c r="E183" s="39" t="n">
        <v>200000000</v>
      </c>
      <c r="F183" s="39" t="n">
        <v>220986696.713344</v>
      </c>
    </row>
    <row r="184">
      <c r="A184" s="40" t="n">
        <v>2</v>
      </c>
      <c r="B184" s="38" t="inlineStr">
        <is>
          <t>Mr Jones</t>
        </is>
      </c>
      <c r="C184" s="45" t="inlineStr">
        <is>
          <t>ZBB</t>
        </is>
      </c>
      <c r="D184" s="44" t="inlineStr">
        <is>
          <t>IMPERDIBLE</t>
        </is>
      </c>
      <c r="E184" s="39" t="n">
        <v>170000000</v>
      </c>
      <c r="F184" s="39" t="n">
        <v>239397586.0101022</v>
      </c>
    </row>
    <row r="185">
      <c r="A185" s="40" t="n">
        <v>3</v>
      </c>
      <c r="B185" s="38" t="inlineStr">
        <is>
          <t>Quba</t>
        </is>
      </c>
      <c r="C185" s="45" t="inlineStr">
        <is>
          <t>ZBB</t>
        </is>
      </c>
      <c r="D185" s="44" t="inlineStr">
        <is>
          <t>IMPERDIBLE</t>
        </is>
      </c>
      <c r="E185" s="39" t="n">
        <v>160000000</v>
      </c>
      <c r="F185" s="39" t="n">
        <v>225315375.0683315</v>
      </c>
    </row>
    <row r="186">
      <c r="A186" s="40" t="n">
        <v>4</v>
      </c>
      <c r="B186" s="38" t="inlineStr">
        <is>
          <t>Tante-Masse-La cabrera</t>
        </is>
      </c>
      <c r="C186" s="45" t="inlineStr">
        <is>
          <t>ZBB</t>
        </is>
      </c>
      <c r="D186" s="44" t="inlineStr">
        <is>
          <t>IMPERDIBLE</t>
        </is>
      </c>
      <c r="E186" s="39" t="n">
        <v>140000000</v>
      </c>
      <c r="F186" s="39" t="n">
        <v>197150953.1847901</v>
      </c>
    </row>
    <row r="187">
      <c r="A187" s="40" t="n">
        <v>5</v>
      </c>
      <c r="B187" s="38" t="inlineStr">
        <is>
          <t>Bruto</t>
        </is>
      </c>
      <c r="C187" s="45" t="inlineStr">
        <is>
          <t>ZBB</t>
        </is>
      </c>
      <c r="D187" s="44" t="inlineStr">
        <is>
          <t>IMPERDIBLE</t>
        </is>
      </c>
      <c r="E187" s="39" t="n">
        <v>95000000</v>
      </c>
      <c r="F187" s="39" t="n">
        <v>305360701.9568958</v>
      </c>
    </row>
    <row r="188">
      <c r="A188" s="40" t="n">
        <v>6</v>
      </c>
      <c r="B188" s="38" t="inlineStr">
        <is>
          <t>Samsara</t>
        </is>
      </c>
      <c r="C188" s="45" t="inlineStr">
        <is>
          <t>ZBB</t>
        </is>
      </c>
      <c r="D188" s="44" t="inlineStr">
        <is>
          <t>IMPERDIBLE</t>
        </is>
      </c>
      <c r="E188" s="39" t="n">
        <v>75000000</v>
      </c>
      <c r="F188" s="39" t="n">
        <v>105616582.0632804</v>
      </c>
    </row>
    <row r="189">
      <c r="A189" s="40" t="n">
        <v>7</v>
      </c>
      <c r="B189" s="38" t="inlineStr">
        <is>
          <t>La Gamba</t>
        </is>
      </c>
      <c r="C189" s="45" t="inlineStr">
        <is>
          <t>ZBB</t>
        </is>
      </c>
      <c r="D189" s="44" t="inlineStr">
        <is>
          <t>IMPERDIBLE</t>
        </is>
      </c>
      <c r="E189" s="39" t="n">
        <v>60000000</v>
      </c>
      <c r="F189" s="39" t="n">
        <v>84493265.65062431</v>
      </c>
    </row>
    <row r="190">
      <c r="A190" s="40" t="n">
        <v>8</v>
      </c>
      <c r="B190" s="38" t="inlineStr">
        <is>
          <t>Luna Roja</t>
        </is>
      </c>
      <c r="C190" s="43" t="inlineStr">
        <is>
          <t>TS</t>
        </is>
      </c>
      <c r="D190" s="44" t="inlineStr">
        <is>
          <t>IMPERDIBLE</t>
        </is>
      </c>
      <c r="E190" s="39" t="n">
        <v>60000000</v>
      </c>
      <c r="F190" s="39" t="n">
        <v>66296009.0140032</v>
      </c>
    </row>
    <row r="191">
      <c r="A191" s="40" t="n">
        <v>9</v>
      </c>
      <c r="B191" s="38" t="inlineStr">
        <is>
          <t>El Calamar Loco PG</t>
        </is>
      </c>
      <c r="C191" s="43" t="inlineStr">
        <is>
          <t>TS</t>
        </is>
      </c>
      <c r="D191" s="44" t="inlineStr">
        <is>
          <t>IMPERDIBLE</t>
        </is>
      </c>
      <c r="E191" s="39" t="n">
        <v>41000000</v>
      </c>
      <c r="F191" s="39" t="n">
        <v>46125000</v>
      </c>
    </row>
    <row r="192">
      <c r="A192" s="40" t="n">
        <v>10</v>
      </c>
      <c r="B192" s="38" t="inlineStr">
        <is>
          <t>Bendu</t>
        </is>
      </c>
      <c r="C192" s="43" t="inlineStr">
        <is>
          <t>TS</t>
        </is>
      </c>
      <c r="D192" s="44" t="inlineStr">
        <is>
          <t>IMPERDIBLE</t>
        </is>
      </c>
      <c r="E192" s="39" t="n">
        <v>40000000</v>
      </c>
      <c r="F192" s="39" t="n">
        <v>44197339.3426688</v>
      </c>
    </row>
    <row r="193">
      <c r="A193" s="40" t="n">
        <v>11</v>
      </c>
      <c r="B193" s="38" t="inlineStr">
        <is>
          <t xml:space="preserve">Pueblo Límite </t>
        </is>
      </c>
      <c r="C193" s="43" t="inlineStr">
        <is>
          <t>TS</t>
        </is>
      </c>
      <c r="D193" s="44" t="inlineStr">
        <is>
          <t>IMPERDIBLE</t>
        </is>
      </c>
      <c r="E193" s="39" t="n">
        <v>30000000</v>
      </c>
      <c r="F193" s="39" t="n">
        <v>33148004.5070016</v>
      </c>
    </row>
    <row r="194">
      <c r="A194" s="40" t="n">
        <v>12</v>
      </c>
      <c r="B194" s="38" t="inlineStr">
        <is>
          <t>Casa Pampa</t>
        </is>
      </c>
      <c r="C194" s="45" t="inlineStr">
        <is>
          <t>ZBB</t>
        </is>
      </c>
      <c r="D194" s="44" t="inlineStr">
        <is>
          <t>IMPERDIBLE</t>
        </is>
      </c>
      <c r="E194" s="39" t="n">
        <v>25000000</v>
      </c>
      <c r="F194" s="39" t="n">
        <v>35205527.3544268</v>
      </c>
    </row>
    <row r="195">
      <c r="A195" s="40" t="n">
        <v>13</v>
      </c>
      <c r="B195" s="38" t="inlineStr">
        <is>
          <t>ESTACION CENTRAL</t>
        </is>
      </c>
      <c r="C195" s="45" t="inlineStr">
        <is>
          <t>ZBB</t>
        </is>
      </c>
      <c r="D195" s="44" t="inlineStr">
        <is>
          <t>IMPERDIBLE</t>
        </is>
      </c>
      <c r="E195" s="39" t="n">
        <v>25000000</v>
      </c>
      <c r="F195" s="39" t="n">
        <v>67163494.03439189</v>
      </c>
    </row>
    <row r="196">
      <c r="A196" s="40" t="n">
        <v>14</v>
      </c>
      <c r="B196" s="38" t="inlineStr">
        <is>
          <t>Casa Mar</t>
        </is>
      </c>
      <c r="C196" s="43" t="inlineStr">
        <is>
          <t>TS</t>
        </is>
      </c>
      <c r="D196" s="44" t="inlineStr">
        <is>
          <t>IMPERDIBLE</t>
        </is>
      </c>
      <c r="E196" s="39" t="n">
        <v>17500000</v>
      </c>
      <c r="F196" s="39" t="n">
        <v>19336335.9624176</v>
      </c>
    </row>
    <row r="197">
      <c r="A197" s="40" t="n">
        <v>15</v>
      </c>
      <c r="B197" s="38" t="inlineStr">
        <is>
          <t>LOS TOLDOS VIEJOS</t>
        </is>
      </c>
      <c r="C197" s="45" t="inlineStr">
        <is>
          <t>ZBB</t>
        </is>
      </c>
      <c r="D197" s="44" t="inlineStr">
        <is>
          <t>IMPERDIBLE</t>
        </is>
      </c>
      <c r="E197" s="39" t="n">
        <v>16000000</v>
      </c>
      <c r="F197" s="39" t="n">
        <v>22531537.50683315</v>
      </c>
    </row>
    <row r="198">
      <c r="A198" s="40" t="n">
        <v>16</v>
      </c>
      <c r="B198" s="38" t="inlineStr">
        <is>
          <t>Villa Aluminé</t>
        </is>
      </c>
      <c r="C198" s="45" t="inlineStr">
        <is>
          <t>ZBB</t>
        </is>
      </c>
      <c r="D198" s="44" t="inlineStr">
        <is>
          <t>IMPERDIBLE</t>
        </is>
      </c>
      <c r="E198" s="39" t="n">
        <v>16000000</v>
      </c>
      <c r="F198" s="39" t="n">
        <v>22531537.50683315</v>
      </c>
    </row>
    <row r="199">
      <c r="A199" s="40" t="n">
        <v>17</v>
      </c>
      <c r="B199" s="38" t="inlineStr">
        <is>
          <t>EDV</t>
        </is>
      </c>
      <c r="C199" s="43" t="inlineStr">
        <is>
          <t>TS</t>
        </is>
      </c>
      <c r="D199" s="44" t="inlineStr">
        <is>
          <t>IMPERDIBLE</t>
        </is>
      </c>
      <c r="E199" s="39" t="n">
        <v>11000000</v>
      </c>
      <c r="F199" s="39" t="n">
        <v>12154268.31923392</v>
      </c>
    </row>
    <row r="200">
      <c r="A200" s="40" t="n">
        <v>18</v>
      </c>
      <c r="B200" s="38" t="inlineStr">
        <is>
          <t>Bosques del Faro</t>
        </is>
      </c>
      <c r="C200" s="43" t="inlineStr">
        <is>
          <t>TS</t>
        </is>
      </c>
      <c r="D200" s="44" t="inlineStr">
        <is>
          <t>IMPERDIBLE</t>
        </is>
      </c>
      <c r="E200" s="39" t="n">
        <v>10000000</v>
      </c>
      <c r="F200" s="39" t="n">
        <v>11049334.8356672</v>
      </c>
    </row>
    <row r="201">
      <c r="A201" s="40" t="n">
        <v>19</v>
      </c>
      <c r="B201" s="38" t="inlineStr">
        <is>
          <t>Cava Federal</t>
        </is>
      </c>
      <c r="C201" s="45" t="inlineStr">
        <is>
          <t>ZBB</t>
        </is>
      </c>
      <c r="D201" s="44" t="inlineStr">
        <is>
          <t>IMPERDIBLE</t>
        </is>
      </c>
      <c r="E201" s="39" t="n">
        <v>10000000</v>
      </c>
      <c r="F201" s="39" t="n">
        <v>14277033.40063945</v>
      </c>
    </row>
    <row r="202">
      <c r="A202" s="40" t="n">
        <v>20</v>
      </c>
      <c r="B202" s="38" t="inlineStr">
        <is>
          <t>Palma Bristo Amarras</t>
        </is>
      </c>
      <c r="C202" s="45" t="inlineStr">
        <is>
          <t>ZBB</t>
        </is>
      </c>
      <c r="D202" s="44" t="inlineStr">
        <is>
          <t>IMPERDIBLE</t>
        </is>
      </c>
      <c r="E202" s="39" t="n">
        <v>10000000</v>
      </c>
      <c r="F202" s="39" t="n">
        <v>26865397.61375675</v>
      </c>
    </row>
    <row r="203">
      <c r="A203" s="40" t="n">
        <v>21</v>
      </c>
      <c r="B203" s="38" t="inlineStr">
        <is>
          <t>Waikiki</t>
        </is>
      </c>
      <c r="C203" s="43" t="inlineStr">
        <is>
          <t>TS</t>
        </is>
      </c>
      <c r="D203" s="44" t="inlineStr">
        <is>
          <t>IMPERDIBLE</t>
        </is>
      </c>
      <c r="E203" s="39" t="n">
        <v>10000000</v>
      </c>
      <c r="F203" s="39" t="n">
        <v>11049334.8356672</v>
      </c>
    </row>
    <row r="204">
      <c r="A204" s="40" t="n">
        <v>22</v>
      </c>
      <c r="B204" s="38" t="inlineStr">
        <is>
          <t>Hemingway</t>
        </is>
      </c>
      <c r="C204" s="43" t="inlineStr">
        <is>
          <t>TS</t>
        </is>
      </c>
      <c r="D204" s="44" t="inlineStr">
        <is>
          <t>IMPERDIBLE</t>
        </is>
      </c>
      <c r="E204" s="39" t="n">
        <v>8000000</v>
      </c>
      <c r="F204" s="39" t="n">
        <v>8839467.86853376</v>
      </c>
    </row>
    <row r="205">
      <c r="A205" s="40" t="n">
        <v>23</v>
      </c>
      <c r="B205" s="38" t="inlineStr">
        <is>
          <t>Mattone</t>
        </is>
      </c>
      <c r="C205" s="45" t="inlineStr">
        <is>
          <t>ZBB</t>
        </is>
      </c>
      <c r="D205" s="44" t="inlineStr">
        <is>
          <t>IMPERDIBLE</t>
        </is>
      </c>
      <c r="E205" s="39" t="n">
        <v>6000000</v>
      </c>
      <c r="F205" s="39" t="n">
        <v>8449326.565062432</v>
      </c>
    </row>
    <row r="206">
      <c r="A206" s="40" t="n">
        <v>24</v>
      </c>
      <c r="B206" s="38" t="inlineStr">
        <is>
          <t>CR</t>
        </is>
      </c>
      <c r="C206" s="43" t="inlineStr">
        <is>
          <t>TS</t>
        </is>
      </c>
      <c r="D206" s="44" t="inlineStr">
        <is>
          <t>IMPERDIBLE</t>
        </is>
      </c>
      <c r="E206" s="39" t="n">
        <v>5000000</v>
      </c>
      <c r="F206" s="39" t="n">
        <v>5524667.4178336</v>
      </c>
    </row>
    <row r="207">
      <c r="A207" s="40" t="n">
        <v>25</v>
      </c>
      <c r="B207" s="38" t="inlineStr">
        <is>
          <t>DOS 55</t>
        </is>
      </c>
      <c r="C207" s="45" t="inlineStr">
        <is>
          <t>ZBB</t>
        </is>
      </c>
      <c r="D207" s="44" t="inlineStr">
        <is>
          <t>IMPERDIBLE</t>
        </is>
      </c>
      <c r="E207" s="39" t="n">
        <v>5000000</v>
      </c>
      <c r="F207" s="39" t="n">
        <v>5746521.257017586</v>
      </c>
    </row>
    <row r="208">
      <c r="A208" s="40" t="n">
        <v>26</v>
      </c>
      <c r="B208" s="38" t="inlineStr">
        <is>
          <t>SANTA</t>
        </is>
      </c>
      <c r="C208" s="45" t="inlineStr">
        <is>
          <t>ZBB</t>
        </is>
      </c>
      <c r="D208" s="44" t="inlineStr">
        <is>
          <t>IMPERDIBLE</t>
        </is>
      </c>
      <c r="E208" s="39" t="n">
        <v>5000000</v>
      </c>
      <c r="F208" s="39" t="n">
        <v>13432698.80687838</v>
      </c>
    </row>
    <row r="209">
      <c r="A209" s="40" t="n">
        <v>27</v>
      </c>
      <c r="B209" s="38" t="inlineStr">
        <is>
          <t>Surfer</t>
        </is>
      </c>
      <c r="C209" s="43" t="inlineStr">
        <is>
          <t>TS</t>
        </is>
      </c>
      <c r="D209" s="44" t="inlineStr">
        <is>
          <t>IMPERDIBLE</t>
        </is>
      </c>
      <c r="E209" s="39" t="n">
        <v>5000000</v>
      </c>
      <c r="F209" s="39" t="n">
        <v>5524667.4178336</v>
      </c>
    </row>
    <row r="210">
      <c r="A210" s="40" t="n">
        <v>28</v>
      </c>
      <c r="B210" s="38" t="inlineStr">
        <is>
          <t>Hondo</t>
        </is>
      </c>
      <c r="C210" s="45" t="inlineStr">
        <is>
          <t>ZBB</t>
        </is>
      </c>
      <c r="D210" s="44" t="inlineStr">
        <is>
          <t>IMPERDIBLE</t>
        </is>
      </c>
      <c r="E210" s="39" t="n">
        <v>4000000</v>
      </c>
      <c r="F210" s="39" t="n">
        <v>5658146.099396203</v>
      </c>
    </row>
    <row r="211">
      <c r="A211" s="40" t="n">
        <v>29</v>
      </c>
      <c r="B211" s="38" t="inlineStr">
        <is>
          <t>Negroni pinamar</t>
        </is>
      </c>
      <c r="C211" s="45" t="inlineStr">
        <is>
          <t>ZBB</t>
        </is>
      </c>
      <c r="D211" s="44" t="inlineStr">
        <is>
          <t>IMPERDIBLE</t>
        </is>
      </c>
      <c r="E211" s="39" t="n">
        <v>4000000</v>
      </c>
      <c r="F211" s="39" t="n">
        <v>5710813.36025578</v>
      </c>
    </row>
    <row r="212">
      <c r="A212" s="40" t="n">
        <v>30</v>
      </c>
      <c r="B212" s="38" t="inlineStr">
        <is>
          <t>Cooperativa de Pesca</t>
        </is>
      </c>
      <c r="C212" s="45" t="inlineStr">
        <is>
          <t>ZBB</t>
        </is>
      </c>
      <c r="D212" s="44" t="inlineStr">
        <is>
          <t>IMPERDIBLE</t>
        </is>
      </c>
      <c r="E212" s="39" t="n">
        <v>3500000</v>
      </c>
      <c r="F212" s="39" t="n">
        <v>5279733.917199708</v>
      </c>
    </row>
    <row r="213">
      <c r="A213" s="40" t="n">
        <v>31</v>
      </c>
      <c r="B213" s="38" t="inlineStr">
        <is>
          <t>Kai Bar</t>
        </is>
      </c>
      <c r="C213" s="43" t="inlineStr">
        <is>
          <t>TS</t>
        </is>
      </c>
      <c r="D213" s="44" t="inlineStr">
        <is>
          <t>IMPERDIBLE</t>
        </is>
      </c>
      <c r="E213" s="39" t="n">
        <v>2200000</v>
      </c>
      <c r="F213" s="39" t="n">
        <v>2430853.663846784</v>
      </c>
    </row>
    <row r="214">
      <c r="A214" s="40" t="n">
        <v>32</v>
      </c>
      <c r="B214" s="38" t="inlineStr">
        <is>
          <t xml:space="preserve">Parentela </t>
        </is>
      </c>
      <c r="C214" s="43" t="inlineStr">
        <is>
          <t>TS</t>
        </is>
      </c>
      <c r="D214" s="44" t="inlineStr">
        <is>
          <t>IMPERDIBLE</t>
        </is>
      </c>
      <c r="E214" s="39" t="n">
        <v>1200000</v>
      </c>
      <c r="F214" s="39" t="n">
        <v>1280131.573170863</v>
      </c>
    </row>
    <row r="215">
      <c r="A215" s="40" t="n">
        <v>33</v>
      </c>
      <c r="B215" s="38" t="inlineStr">
        <is>
          <t>La Normandina</t>
        </is>
      </c>
      <c r="C215" s="43" t="inlineStr">
        <is>
          <t>TS</t>
        </is>
      </c>
      <c r="D215" s="50" t="inlineStr">
        <is>
          <t>DISCUTIBLE</t>
        </is>
      </c>
      <c r="E215" s="39" t="n">
        <v>70000000</v>
      </c>
      <c r="F215" s="39" t="n">
        <v>77345343.84967041</v>
      </c>
    </row>
    <row r="216">
      <c r="B216" s="46" t="inlineStr">
        <is>
          <t>TOTAL 33 CLIENTES QUE ENTRAN</t>
        </is>
      </c>
      <c r="E216" s="47">
        <f>SUM(E183:E215)</f>
        <v/>
      </c>
      <c r="F216" s="47">
        <f>SUM(F183:F215)</f>
        <v/>
      </c>
    </row>
    <row r="218">
      <c r="A218" s="48" t="inlineStr">
        <is>
          <t>ESCENARIO 3 - CLIENTES QUE SE PIERDEN (ZBB + Trade Spend - presupuesto total)</t>
        </is>
      </c>
    </row>
    <row r="219" ht="26" customHeight="1" s="32">
      <c r="A219" s="49" t="inlineStr">
        <is>
          <t>Prioridad</t>
        </is>
      </c>
      <c r="B219" s="49" t="inlineStr">
        <is>
          <t>Cliente / PDV</t>
        </is>
      </c>
      <c r="C219" s="49" t="inlineStr">
        <is>
          <t>Bolsa</t>
        </is>
      </c>
      <c r="D219" s="49" t="inlineStr">
        <is>
          <t>Tier</t>
        </is>
      </c>
      <c r="E219" s="49" t="inlineStr">
        <is>
          <t>Monto FEE Actual</t>
        </is>
      </c>
      <c r="F219" s="49" t="inlineStr">
        <is>
          <t>Criterio 3 - Punto medio</t>
        </is>
      </c>
    </row>
    <row r="220">
      <c r="A220" s="40" t="n">
        <v>34</v>
      </c>
      <c r="B220" s="38" t="inlineStr">
        <is>
          <t>Brothers</t>
        </is>
      </c>
      <c r="C220" s="45" t="inlineStr">
        <is>
          <t>ZBB</t>
        </is>
      </c>
      <c r="D220" s="50" t="inlineStr">
        <is>
          <t>DISCUTIBLE</t>
        </is>
      </c>
      <c r="E220" s="39" t="n">
        <v>65000000</v>
      </c>
      <c r="F220" s="39" t="n">
        <v>91944874.1151883</v>
      </c>
    </row>
    <row r="221">
      <c r="A221" s="40" t="n">
        <v>35</v>
      </c>
      <c r="B221" s="38" t="inlineStr">
        <is>
          <t>Camping Americano</t>
        </is>
      </c>
      <c r="C221" s="45" t="inlineStr">
        <is>
          <t>ZBB</t>
        </is>
      </c>
      <c r="D221" s="50" t="inlineStr">
        <is>
          <t>DISCUTIBLE</t>
        </is>
      </c>
      <c r="E221" s="39" t="n">
        <v>11000000</v>
      </c>
      <c r="F221" s="39" t="n">
        <v>15559901.77333955</v>
      </c>
    </row>
    <row r="222">
      <c r="A222" s="40" t="n">
        <v>36</v>
      </c>
      <c r="B222" s="38" t="inlineStr">
        <is>
          <t>Mambrú</t>
        </is>
      </c>
      <c r="C222" s="45" t="inlineStr">
        <is>
          <t>ZBB</t>
        </is>
      </c>
      <c r="D222" s="50" t="inlineStr">
        <is>
          <t>DISCUTIBLE</t>
        </is>
      </c>
      <c r="E222" s="39" t="n">
        <v>8000000</v>
      </c>
      <c r="F222" s="39" t="n">
        <v>11265768.75341658</v>
      </c>
    </row>
    <row r="223">
      <c r="A223" s="40" t="n">
        <v>37</v>
      </c>
      <c r="B223" s="38" t="inlineStr">
        <is>
          <t>El Condor</t>
        </is>
      </c>
      <c r="C223" s="43" t="inlineStr">
        <is>
          <t>TS</t>
        </is>
      </c>
      <c r="D223" s="50" t="inlineStr">
        <is>
          <t>DISCUTIBLE</t>
        </is>
      </c>
      <c r="E223" s="39" t="n">
        <v>2200000</v>
      </c>
      <c r="F223" s="39" t="n">
        <v>2430853.663846784</v>
      </c>
    </row>
    <row r="224">
      <c r="A224" s="40" t="n">
        <v>38</v>
      </c>
      <c r="B224" s="38" t="inlineStr">
        <is>
          <t xml:space="preserve">Olivo </t>
        </is>
      </c>
      <c r="C224" s="43" t="inlineStr">
        <is>
          <t>TS</t>
        </is>
      </c>
      <c r="D224" s="50" t="inlineStr">
        <is>
          <t>DISCUTIBLE</t>
        </is>
      </c>
      <c r="E224" s="39" t="n">
        <v>1800000</v>
      </c>
      <c r="F224" s="39" t="n">
        <v>1988880.270420096</v>
      </c>
    </row>
    <row r="225">
      <c r="A225" s="40" t="n">
        <v>39</v>
      </c>
      <c r="B225" s="38" t="inlineStr">
        <is>
          <t>NEREA</t>
        </is>
      </c>
      <c r="C225" s="45" t="inlineStr">
        <is>
          <t>ZBB</t>
        </is>
      </c>
      <c r="D225" s="50" t="inlineStr">
        <is>
          <t>DISCUTIBLE</t>
        </is>
      </c>
      <c r="E225" s="39" t="n">
        <v>1700000</v>
      </c>
      <c r="F225" s="39" t="n">
        <v>2404712.092243386</v>
      </c>
    </row>
    <row r="226">
      <c r="A226" s="40" t="n">
        <v>40</v>
      </c>
      <c r="B226" s="38" t="inlineStr">
        <is>
          <t>El Taino</t>
        </is>
      </c>
      <c r="C226" s="43" t="inlineStr">
        <is>
          <t>TS</t>
        </is>
      </c>
      <c r="D226" s="50" t="inlineStr">
        <is>
          <t>DISCUTIBLE</t>
        </is>
      </c>
      <c r="E226" s="39" t="n">
        <v>1200000</v>
      </c>
      <c r="F226" s="39" t="n">
        <v>1325920.180280064</v>
      </c>
    </row>
    <row r="227">
      <c r="A227" s="40" t="n">
        <v>41</v>
      </c>
      <c r="B227" s="38" t="inlineStr">
        <is>
          <t>Lo de Fran</t>
        </is>
      </c>
      <c r="C227" s="45" t="inlineStr">
        <is>
          <t>ZBB</t>
        </is>
      </c>
      <c r="D227" s="50" t="inlineStr">
        <is>
          <t>DISCUTIBLE</t>
        </is>
      </c>
      <c r="E227" s="39" t="n">
        <v>21000000</v>
      </c>
      <c r="F227" s="39" t="n">
        <v>30553931.69969488</v>
      </c>
    </row>
    <row r="228">
      <c r="A228" s="40" t="n">
        <v>42</v>
      </c>
      <c r="B228" s="38" t="inlineStr">
        <is>
          <t>El Bar</t>
        </is>
      </c>
      <c r="C228" s="43" t="inlineStr">
        <is>
          <t>TS</t>
        </is>
      </c>
      <c r="D228" s="50" t="inlineStr">
        <is>
          <t>DISCUTIBLE</t>
        </is>
      </c>
      <c r="E228" s="39" t="n">
        <v>20000000</v>
      </c>
      <c r="F228" s="39" t="n">
        <v>22098669.6713344</v>
      </c>
    </row>
    <row r="229">
      <c r="A229" s="40" t="n">
        <v>43</v>
      </c>
      <c r="B229" s="38" t="inlineStr">
        <is>
          <t>Espacio Pueyrredón</t>
        </is>
      </c>
      <c r="C229" s="43" t="inlineStr">
        <is>
          <t>TS</t>
        </is>
      </c>
      <c r="D229" s="50" t="inlineStr">
        <is>
          <t>DISCUTIBLE</t>
        </is>
      </c>
      <c r="E229" s="39" t="n">
        <v>17000000</v>
      </c>
      <c r="F229" s="39" t="n">
        <v>18518040.38184841</v>
      </c>
    </row>
    <row r="230">
      <c r="A230" s="40" t="n">
        <v>44</v>
      </c>
      <c r="B230" s="38" t="inlineStr">
        <is>
          <t>Honu Beach</t>
        </is>
      </c>
      <c r="C230" s="43" t="inlineStr">
        <is>
          <t>TS</t>
        </is>
      </c>
      <c r="D230" s="50" t="inlineStr">
        <is>
          <t>DISCUTIBLE</t>
        </is>
      </c>
      <c r="E230" s="39" t="n">
        <v>15000000</v>
      </c>
      <c r="F230" s="39" t="n">
        <v>16875000</v>
      </c>
    </row>
    <row r="231">
      <c r="A231" s="40" t="n">
        <v>45</v>
      </c>
      <c r="B231" s="38" t="inlineStr">
        <is>
          <t>mama Concert</t>
        </is>
      </c>
      <c r="C231" s="45" t="inlineStr">
        <is>
          <t>ZBB</t>
        </is>
      </c>
      <c r="D231" s="50" t="inlineStr">
        <is>
          <t>DISCUTIBLE</t>
        </is>
      </c>
      <c r="E231" s="39" t="n">
        <v>15000000</v>
      </c>
      <c r="F231" s="39" t="n">
        <v>46693265.65062431</v>
      </c>
    </row>
    <row r="232">
      <c r="A232" s="40" t="n">
        <v>46</v>
      </c>
      <c r="B232" s="38" t="inlineStr">
        <is>
          <t>Mirador Tandil</t>
        </is>
      </c>
      <c r="C232" s="45" t="inlineStr">
        <is>
          <t>ZBB</t>
        </is>
      </c>
      <c r="D232" s="50" t="inlineStr">
        <is>
          <t>DISCUTIBLE</t>
        </is>
      </c>
      <c r="E232" s="39" t="n">
        <v>15000000</v>
      </c>
      <c r="F232" s="39" t="n">
        <v>21123316.41265608</v>
      </c>
    </row>
    <row r="233">
      <c r="A233" s="40" t="n">
        <v>47</v>
      </c>
      <c r="B233" s="38" t="inlineStr">
        <is>
          <t>Newbery</t>
        </is>
      </c>
      <c r="C233" s="43" t="inlineStr">
        <is>
          <t>TS</t>
        </is>
      </c>
      <c r="D233" s="50" t="inlineStr">
        <is>
          <t>DISCUTIBLE</t>
        </is>
      </c>
      <c r="E233" s="39" t="n">
        <v>14000000</v>
      </c>
      <c r="F233" s="39" t="n">
        <v>15469068.76993408</v>
      </c>
    </row>
    <row r="234">
      <c r="A234" s="40" t="n">
        <v>48</v>
      </c>
      <c r="B234" s="38" t="inlineStr">
        <is>
          <t>Barra Beach</t>
        </is>
      </c>
      <c r="C234" s="43" t="inlineStr">
        <is>
          <t>TS</t>
        </is>
      </c>
      <c r="D234" s="50" t="inlineStr">
        <is>
          <t>DISCUTIBLE</t>
        </is>
      </c>
      <c r="E234" s="39" t="n">
        <v>12000000</v>
      </c>
      <c r="F234" s="39" t="n">
        <v>13259201.80280064</v>
      </c>
    </row>
    <row r="235">
      <c r="A235" s="40" t="n">
        <v>49</v>
      </c>
      <c r="B235" s="38" t="inlineStr">
        <is>
          <t>Break 197</t>
        </is>
      </c>
      <c r="C235" s="43" t="inlineStr">
        <is>
          <t>TS</t>
        </is>
      </c>
      <c r="D235" s="50" t="inlineStr">
        <is>
          <t>DISCUTIBLE</t>
        </is>
      </c>
      <c r="E235" s="39" t="n">
        <v>11500000</v>
      </c>
      <c r="F235" s="39" t="n">
        <v>12706735.06101728</v>
      </c>
    </row>
    <row r="236">
      <c r="A236" s="40" t="n">
        <v>50</v>
      </c>
      <c r="B236" s="38" t="inlineStr">
        <is>
          <t>La Reserva</t>
        </is>
      </c>
      <c r="C236" s="43" t="inlineStr">
        <is>
          <t>TS</t>
        </is>
      </c>
      <c r="D236" s="50" t="inlineStr">
        <is>
          <t>DISCUTIBLE</t>
        </is>
      </c>
      <c r="E236" s="39" t="n">
        <v>10000000</v>
      </c>
      <c r="F236" s="39" t="n">
        <v>11049334.8356672</v>
      </c>
    </row>
    <row r="237">
      <c r="A237" s="40" t="n">
        <v>51</v>
      </c>
      <c r="B237" s="38" t="inlineStr">
        <is>
          <t>Pontevedra/Di Mero/Membrillo/Brasa</t>
        </is>
      </c>
      <c r="C237" s="45" t="inlineStr">
        <is>
          <t>ZBB</t>
        </is>
      </c>
      <c r="D237" s="50" t="inlineStr">
        <is>
          <t>DISCUTIBLE</t>
        </is>
      </c>
      <c r="E237" s="39" t="n">
        <v>10000000</v>
      </c>
      <c r="F237" s="39" t="n">
        <v>14082210.94177071</v>
      </c>
    </row>
    <row r="238">
      <c r="A238" s="40" t="n">
        <v>52</v>
      </c>
      <c r="B238" s="38" t="inlineStr">
        <is>
          <t>Tiki Bar</t>
        </is>
      </c>
      <c r="C238" s="43" t="inlineStr">
        <is>
          <t>TS</t>
        </is>
      </c>
      <c r="D238" s="50" t="inlineStr">
        <is>
          <t>DISCUTIBLE</t>
        </is>
      </c>
      <c r="E238" s="39" t="n">
        <v>8000000</v>
      </c>
      <c r="F238" s="39" t="n">
        <v>8839467.86853376</v>
      </c>
    </row>
    <row r="239">
      <c r="A239" s="40" t="n">
        <v>53</v>
      </c>
      <c r="B239" s="38" t="inlineStr">
        <is>
          <t>El Soleado</t>
        </is>
      </c>
      <c r="C239" s="43" t="inlineStr">
        <is>
          <t>TS</t>
        </is>
      </c>
      <c r="D239" s="50" t="inlineStr">
        <is>
          <t>DISCUTIBLE</t>
        </is>
      </c>
      <c r="E239" s="39" t="n">
        <v>7800000</v>
      </c>
      <c r="F239" s="39" t="n">
        <v>8618481.171820417</v>
      </c>
    </row>
    <row r="240">
      <c r="A240" s="40" t="n">
        <v>54</v>
      </c>
      <c r="B240" s="38" t="inlineStr">
        <is>
          <t>Parque Mogotes</t>
        </is>
      </c>
      <c r="C240" s="43" t="inlineStr">
        <is>
          <t>TS</t>
        </is>
      </c>
      <c r="D240" s="50" t="inlineStr">
        <is>
          <t>DISCUTIBLE</t>
        </is>
      </c>
      <c r="E240" s="39" t="n">
        <v>7000000</v>
      </c>
      <c r="F240" s="39" t="n">
        <v>7625075.451349346</v>
      </c>
    </row>
    <row r="241">
      <c r="A241" s="40" t="n">
        <v>55</v>
      </c>
      <c r="B241" s="38" t="inlineStr">
        <is>
          <t>Hamburguesería Weiss</t>
        </is>
      </c>
      <c r="C241" s="45" t="inlineStr">
        <is>
          <t>ZBB</t>
        </is>
      </c>
      <c r="D241" s="50" t="inlineStr">
        <is>
          <t>DISCUTIBLE</t>
        </is>
      </c>
      <c r="E241" s="39" t="n">
        <v>6000000</v>
      </c>
      <c r="F241" s="39" t="n">
        <v>8213142.307718277</v>
      </c>
    </row>
    <row r="242">
      <c r="A242" s="40" t="n">
        <v>56</v>
      </c>
      <c r="B242" s="38" t="inlineStr">
        <is>
          <t xml:space="preserve">El Descorche </t>
        </is>
      </c>
      <c r="C242" s="45" t="inlineStr">
        <is>
          <t>ZBB</t>
        </is>
      </c>
      <c r="D242" s="50" t="inlineStr">
        <is>
          <t>DISCUTIBLE</t>
        </is>
      </c>
      <c r="E242" s="39" t="n">
        <v>5800000</v>
      </c>
      <c r="F242" s="39" t="n">
        <v>8358797.036751958</v>
      </c>
    </row>
    <row r="243">
      <c r="A243" s="40" t="n">
        <v>57</v>
      </c>
      <c r="B243" s="38" t="inlineStr">
        <is>
          <t>Baln 5,6,7 y 8 ACA</t>
        </is>
      </c>
      <c r="C243" s="43" t="inlineStr">
        <is>
          <t>TS</t>
        </is>
      </c>
      <c r="D243" s="50" t="inlineStr">
        <is>
          <t>DISCUTIBLE</t>
        </is>
      </c>
      <c r="E243" s="39" t="n">
        <v>5200000</v>
      </c>
      <c r="F243" s="39" t="n">
        <v>5773391.786912816</v>
      </c>
    </row>
    <row r="244">
      <c r="A244" s="40" t="n">
        <v>58</v>
      </c>
      <c r="B244" s="38" t="inlineStr">
        <is>
          <t>Casa Oxalis</t>
        </is>
      </c>
      <c r="C244" s="43" t="inlineStr">
        <is>
          <t>TS</t>
        </is>
      </c>
      <c r="D244" s="50" t="inlineStr">
        <is>
          <t>DISCUTIBLE</t>
        </is>
      </c>
      <c r="E244" s="39" t="n">
        <v>4500000</v>
      </c>
      <c r="F244" s="39" t="n">
        <v>4972200.67605024</v>
      </c>
    </row>
    <row r="245">
      <c r="A245" s="40" t="n">
        <v>59</v>
      </c>
      <c r="B245" s="38" t="inlineStr">
        <is>
          <t>Celina</t>
        </is>
      </c>
      <c r="C245" s="43" t="inlineStr">
        <is>
          <t>TS</t>
        </is>
      </c>
      <c r="D245" s="50" t="inlineStr">
        <is>
          <t>DISCUTIBLE</t>
        </is>
      </c>
      <c r="E245" s="39" t="n">
        <v>4500000</v>
      </c>
      <c r="F245" s="39" t="n">
        <v>4972200.67605024</v>
      </c>
    </row>
    <row r="246">
      <c r="A246" s="40" t="n">
        <v>60</v>
      </c>
      <c r="B246" s="38" t="inlineStr">
        <is>
          <t>Alamacén de carnes</t>
        </is>
      </c>
      <c r="C246" s="45" t="inlineStr">
        <is>
          <t>ZBB</t>
        </is>
      </c>
      <c r="D246" s="50" t="inlineStr">
        <is>
          <t>DISCUTIBLE</t>
        </is>
      </c>
      <c r="E246" s="39" t="n">
        <v>3000000</v>
      </c>
      <c r="F246" s="39" t="n">
        <v>3346983.315333758</v>
      </c>
    </row>
    <row r="247">
      <c r="A247" s="40" t="n">
        <v>61</v>
      </c>
      <c r="B247" s="38" t="inlineStr">
        <is>
          <t xml:space="preserve">Playas El Balcón </t>
        </is>
      </c>
      <c r="C247" s="43" t="inlineStr">
        <is>
          <t>TS</t>
        </is>
      </c>
      <c r="D247" s="50" t="inlineStr">
        <is>
          <t>DISCUTIBLE</t>
        </is>
      </c>
      <c r="E247" s="39" t="n">
        <v>3000000</v>
      </c>
      <c r="F247" s="39" t="n">
        <v>3314800.45070016</v>
      </c>
    </row>
    <row r="248">
      <c r="A248" s="40" t="n">
        <v>62</v>
      </c>
      <c r="B248" s="38" t="inlineStr">
        <is>
          <t xml:space="preserve">Baln 17 y 18 Princesa </t>
        </is>
      </c>
      <c r="C248" s="43" t="inlineStr">
        <is>
          <t>TS</t>
        </is>
      </c>
      <c r="D248" s="50" t="inlineStr">
        <is>
          <t>DISCUTIBLE</t>
        </is>
      </c>
      <c r="E248" s="39" t="n">
        <v>2600000</v>
      </c>
      <c r="F248" s="39" t="n">
        <v>2886695.893456408</v>
      </c>
    </row>
    <row r="249">
      <c r="A249" s="40" t="n">
        <v>63</v>
      </c>
      <c r="B249" s="38" t="inlineStr">
        <is>
          <t>Baln 3 y 4 Francisco</t>
        </is>
      </c>
      <c r="C249" s="43" t="inlineStr">
        <is>
          <t>TS</t>
        </is>
      </c>
      <c r="D249" s="50" t="inlineStr">
        <is>
          <t>DISCUTIBLE</t>
        </is>
      </c>
      <c r="E249" s="39" t="n">
        <v>2600000</v>
      </c>
      <c r="F249" s="39" t="n">
        <v>2886695.893456408</v>
      </c>
    </row>
    <row r="250">
      <c r="A250" s="40" t="n">
        <v>64</v>
      </c>
      <c r="B250" s="38" t="inlineStr">
        <is>
          <t>Baln 9 y 10 El Carmen</t>
        </is>
      </c>
      <c r="C250" s="43" t="inlineStr">
        <is>
          <t>TS</t>
        </is>
      </c>
      <c r="D250" s="50" t="inlineStr">
        <is>
          <t>DISCUTIBLE</t>
        </is>
      </c>
      <c r="E250" s="39" t="n">
        <v>2600000</v>
      </c>
      <c r="F250" s="39" t="n">
        <v>2886695.893456408</v>
      </c>
    </row>
    <row r="251">
      <c r="A251" s="40" t="n">
        <v>65</v>
      </c>
      <c r="B251" s="38" t="inlineStr">
        <is>
          <t>Balneario 21 y 24 Atlantis</t>
        </is>
      </c>
      <c r="C251" s="43" t="inlineStr">
        <is>
          <t>TS</t>
        </is>
      </c>
      <c r="D251" s="50" t="inlineStr">
        <is>
          <t>DISCUTIBLE</t>
        </is>
      </c>
      <c r="E251" s="39" t="n">
        <v>2600000</v>
      </c>
      <c r="F251" s="39" t="n">
        <v>2886695.893456408</v>
      </c>
    </row>
    <row r="252">
      <c r="A252" s="40" t="n">
        <v>66</v>
      </c>
      <c r="B252" s="38" t="inlineStr">
        <is>
          <t>Baln 1 Punta Mogotes</t>
        </is>
      </c>
      <c r="C252" s="43" t="inlineStr">
        <is>
          <t>TS</t>
        </is>
      </c>
      <c r="D252" s="50" t="inlineStr">
        <is>
          <t>DISCUTIBLE</t>
        </is>
      </c>
      <c r="E252" s="39" t="n">
        <v>1300000</v>
      </c>
      <c r="F252" s="39" t="n">
        <v>1443347.946728204</v>
      </c>
    </row>
    <row r="253">
      <c r="A253" s="40" t="n">
        <v>67</v>
      </c>
      <c r="B253" s="38" t="inlineStr">
        <is>
          <t xml:space="preserve">Baln 11 Ulises </t>
        </is>
      </c>
      <c r="C253" s="43" t="inlineStr">
        <is>
          <t>TS</t>
        </is>
      </c>
      <c r="D253" s="50" t="inlineStr">
        <is>
          <t>DISCUTIBLE</t>
        </is>
      </c>
      <c r="E253" s="39" t="n">
        <v>1300000</v>
      </c>
      <c r="F253" s="39" t="n">
        <v>1443347.946728204</v>
      </c>
    </row>
    <row r="254">
      <c r="A254" s="40" t="n">
        <v>68</v>
      </c>
      <c r="B254" s="38" t="inlineStr">
        <is>
          <t>Baln 14 Uthgra</t>
        </is>
      </c>
      <c r="C254" s="43" t="inlineStr">
        <is>
          <t>TS</t>
        </is>
      </c>
      <c r="D254" s="50" t="inlineStr">
        <is>
          <t>DISCUTIBLE</t>
        </is>
      </c>
      <c r="E254" s="39" t="n">
        <v>1300000</v>
      </c>
      <c r="F254" s="39" t="n">
        <v>1443347.946728204</v>
      </c>
    </row>
    <row r="255">
      <c r="A255" s="40" t="n">
        <v>69</v>
      </c>
      <c r="B255" s="38" t="inlineStr">
        <is>
          <t xml:space="preserve">Baln 15 Apolo </t>
        </is>
      </c>
      <c r="C255" s="43" t="inlineStr">
        <is>
          <t>TS</t>
        </is>
      </c>
      <c r="D255" s="50" t="inlineStr">
        <is>
          <t>DISCUTIBLE</t>
        </is>
      </c>
      <c r="E255" s="39" t="n">
        <v>1300000</v>
      </c>
      <c r="F255" s="39" t="n">
        <v>1443347.946728204</v>
      </c>
    </row>
    <row r="256">
      <c r="A256" s="40" t="n">
        <v>70</v>
      </c>
      <c r="B256" s="38" t="inlineStr">
        <is>
          <t>Baln 16 Hawai</t>
        </is>
      </c>
      <c r="C256" s="43" t="inlineStr">
        <is>
          <t>TS</t>
        </is>
      </c>
      <c r="D256" s="50" t="inlineStr">
        <is>
          <t>DISCUTIBLE</t>
        </is>
      </c>
      <c r="E256" s="39" t="n">
        <v>1300000</v>
      </c>
      <c r="F256" s="39" t="n">
        <v>1443347.946728204</v>
      </c>
    </row>
    <row r="257">
      <c r="A257" s="40" t="n">
        <v>71</v>
      </c>
      <c r="B257" s="38" t="inlineStr">
        <is>
          <t>Baln 19 Mar y Tenis</t>
        </is>
      </c>
      <c r="C257" s="43" t="inlineStr">
        <is>
          <t>TS</t>
        </is>
      </c>
      <c r="D257" s="50" t="inlineStr">
        <is>
          <t>DISCUTIBLE</t>
        </is>
      </c>
      <c r="E257" s="39" t="n">
        <v>1300000</v>
      </c>
      <c r="F257" s="39" t="n">
        <v>1443347.946728204</v>
      </c>
    </row>
    <row r="258">
      <c r="A258" s="40" t="n">
        <v>72</v>
      </c>
      <c r="B258" s="38" t="inlineStr">
        <is>
          <t xml:space="preserve">Baln 20 Meditarreo </t>
        </is>
      </c>
      <c r="C258" s="43" t="inlineStr">
        <is>
          <t>TS</t>
        </is>
      </c>
      <c r="D258" s="50" t="inlineStr">
        <is>
          <t>DISCUTIBLE</t>
        </is>
      </c>
      <c r="E258" s="39" t="n">
        <v>1300000</v>
      </c>
      <c r="F258" s="39" t="n">
        <v>1443347.946728204</v>
      </c>
    </row>
    <row r="259">
      <c r="A259" s="40" t="n">
        <v>73</v>
      </c>
      <c r="B259" s="38" t="inlineStr">
        <is>
          <t>Baln 22 Hurlingham Pta Mogotes</t>
        </is>
      </c>
      <c r="C259" s="43" t="inlineStr">
        <is>
          <t>TS</t>
        </is>
      </c>
      <c r="D259" s="50" t="inlineStr">
        <is>
          <t>DISCUTIBLE</t>
        </is>
      </c>
      <c r="E259" s="39" t="n">
        <v>1300000</v>
      </c>
      <c r="F259" s="39" t="n">
        <v>1443347.946728204</v>
      </c>
    </row>
    <row r="260">
      <c r="A260" s="40" t="n">
        <v>74</v>
      </c>
      <c r="B260" s="38" t="inlineStr">
        <is>
          <t>Baln 23 Carioca</t>
        </is>
      </c>
      <c r="C260" s="43" t="inlineStr">
        <is>
          <t>TS</t>
        </is>
      </c>
      <c r="D260" s="50" t="inlineStr">
        <is>
          <t>DISCUTIBLE</t>
        </is>
      </c>
      <c r="E260" s="39" t="n">
        <v>1300000</v>
      </c>
      <c r="F260" s="39" t="n">
        <v>1443347.946728204</v>
      </c>
    </row>
    <row r="261">
      <c r="A261" s="40" t="n">
        <v>75</v>
      </c>
      <c r="B261" s="38" t="inlineStr">
        <is>
          <t xml:space="preserve">Balneario 2 Alaciel </t>
        </is>
      </c>
      <c r="C261" s="43" t="inlineStr">
        <is>
          <t>TS</t>
        </is>
      </c>
      <c r="D261" s="50" t="inlineStr">
        <is>
          <t>DISCUTIBLE</t>
        </is>
      </c>
      <c r="E261" s="39" t="n">
        <v>1300000</v>
      </c>
      <c r="F261" s="39" t="n">
        <v>1443347.946728204</v>
      </c>
    </row>
    <row r="262">
      <c r="B262" s="46" t="inlineStr">
        <is>
          <t>TOTAL 42 CLIENTES QUE SE PIERDEN</t>
        </is>
      </c>
      <c r="E262" s="47">
        <f>SUM(E220:E261)</f>
        <v/>
      </c>
      <c r="F262" s="47">
        <f>SUM(F220:F261)</f>
        <v/>
      </c>
    </row>
  </sheetData>
  <mergeCells count="9">
    <mergeCell ref="A113:F113"/>
    <mergeCell ref="A2:I2"/>
    <mergeCell ref="A10:I10"/>
    <mergeCell ref="A13:F13"/>
    <mergeCell ref="A181:F181"/>
    <mergeCell ref="A97:F97"/>
    <mergeCell ref="A218:F218"/>
    <mergeCell ref="A4:I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2026-07-21T18:39:09Z</dcterms:created>
  <dcterms:modified xsi:type="dcterms:W3CDTF">2026-07-22T11:50:23Z</dcterms:modified>
  <cp:lastModifiedBy>Simionato, Leandro Javier</cp:lastModifiedBy>
</cp:coreProperties>
</file>