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BASE ZBB" sheetId="2" state="visible" r:id="rId2"/>
    <sheet name="RESUMEN E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 #,##0"/>
    <numFmt numFmtId="165" formatCode="0.0%"/>
    <numFmt numFmtId="166" formatCode="yyyy-mm-dd h:mm:ss"/>
    <numFmt numFmtId="167" formatCode="mm/yyyy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i val="1"/>
      <color rgb="00C00000"/>
      <sz val="9"/>
    </font>
    <font>
      <name val="Arial"/>
      <b val="1"/>
      <color rgb="00000000"/>
      <sz val="13"/>
    </font>
    <font>
      <name val="Arial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EFEFEF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165" fontId="7" fillId="5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5" fontId="5" fillId="3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167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vertical="center"/>
    </xf>
    <xf numFmtId="0" fontId="11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aseZBB" displayName="BaseZBB" ref="A1:Z31" headerRowCount="1">
  <autoFilter ref="A1:Z31"/>
  <tableColumns count="26">
    <tableColumn id="1" name="Prioridad"/>
    <tableColumn id="2" name="Tier Base"/>
    <tableColumn id="3" name="Alerta"/>
    <tableColumn id="4" name="Codigo Cliente"/>
    <tableColumn id="5" name="Cliente / PDV (Nombre de Fantasia)"/>
    <tableColumn id="6" name="Razon Social (Distribuidor)"/>
    <tableColumn id="7" name="Marca"/>
    <tableColumn id="8" name="Rubro"/>
    <tableColumn id="9" name="Vigencia Desde"/>
    <tableColumn id="10" name="Vigencia Hasta"/>
    <tableColumn id="11" name="Duracion (meses)"/>
    <tableColumn id="12" name="Comentario original"/>
    <tableColumn id="13" name="Monto FEE Actual (pagado)"/>
    <tableColumn id="14" name="% Inflacion acumulada aplicable"/>
    <tableColumn id="15" name="Criterio 1 - FEE Actualizado (mercado)"/>
    <tableColumn id="16" name="Criterio 2 - FEE + Inflacion"/>
    <tableColumn id="17" name="Diferencia C2 vs C1 ($)"/>
    <tableColumn id="18" name="Diferencia C2 vs C1 (%)"/>
    <tableColumn id="19" name="Acumulado Criterio 1"/>
    <tableColumn id="20" name="Acumulado Criterio 2"/>
    <tableColumn id="21" name="Escenario 1 - Entra (C1)"/>
    <tableColumn id="22" name="Escenario 1 - Entra (C2)"/>
    <tableColumn id="23" name="Escenario 2 - Entra (C1)"/>
    <tableColumn id="24" name="Escenario 2 - Entra (C2)"/>
    <tableColumn id="25" name="Escenario 3 - Entra (C1)"/>
    <tableColumn id="26" name="Escenario 3 - Entra (C2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60" customWidth="1" min="3" max="3"/>
  </cols>
  <sheetData>
    <row r="1">
      <c r="A1" s="1" t="inlineStr">
        <is>
          <t>RENOVACION DE CONTRATOS FEE 2026 - PARAMETROS Y SUPUESTOS</t>
        </is>
      </c>
    </row>
    <row r="2">
      <c r="A2" s="2" t="inlineStr">
        <is>
          <t>Universo de analisis: 76 contratos FEE (2026), unicamente bolsa ZBB (30 contratos)</t>
        </is>
      </c>
    </row>
    <row r="4">
      <c r="A4" s="3" t="inlineStr">
        <is>
          <t>BOLSAS DE PRESUPUESTO (referencia, archivo original)</t>
        </is>
      </c>
    </row>
    <row r="5">
      <c r="A5" s="4" t="inlineStr">
        <is>
          <t>Total pagado bolsa ZBB (2026, 30 contratos)</t>
        </is>
      </c>
      <c r="B5" s="5" t="n">
        <v>1101000000</v>
      </c>
      <c r="C5" s="4" t="inlineStr">
        <is>
          <t>Dato provisto por el usuario y verificado contra el archivo FEE_2026.xlsx (SUMIF ZBB/TS=ZBB) = coincide exacto.</t>
        </is>
      </c>
    </row>
    <row r="6">
      <c r="A6" s="4" t="inlineStr">
        <is>
          <t>Total pagado bolsa Trade Spend (2026, 46 contratos) - fuera de alcance</t>
        </is>
      </c>
      <c r="B6" s="5" t="n">
        <v>679000000</v>
      </c>
      <c r="C6" s="4" t="inlineStr">
        <is>
          <t>No forma parte de los escenarios (se pidio trabajar solo con ZBB). Se deja como referencia.</t>
        </is>
      </c>
    </row>
    <row r="8">
      <c r="A8" s="3" t="inlineStr">
        <is>
          <t>ESCENARIOS DE PRESUPUESTO DISPONIBLE (bolsa ZBB)</t>
        </is>
      </c>
    </row>
    <row r="9">
      <c r="A9" s="4" t="inlineStr">
        <is>
          <t>Escenario 1 - Presupuesto disponible hoy (misma bolsa ZBB)</t>
        </is>
      </c>
      <c r="B9" s="5" t="n">
        <v>1430276270</v>
      </c>
      <c r="C9" s="4" t="inlineStr">
        <is>
          <t>Dato provisto por el usuario.</t>
        </is>
      </c>
    </row>
    <row r="10">
      <c r="A10" s="4" t="inlineStr">
        <is>
          <t>Escenario 2 - Adicional a conseguir</t>
        </is>
      </c>
      <c r="B10" s="5" t="n">
        <v>250000000</v>
      </c>
      <c r="C10" s="4" t="inlineStr">
        <is>
          <t>Dato provisto por el usuario.</t>
        </is>
      </c>
    </row>
    <row r="11">
      <c r="A11" s="4" t="inlineStr">
        <is>
          <t>Escenario 2 - Total teorico (Esc.1 + Adicional)</t>
        </is>
      </c>
      <c r="B11" s="6">
        <f>$B$9+B10</f>
        <v/>
      </c>
      <c r="C11" s="4" t="inlineStr">
        <is>
          <t>Calculado. OJO: el usuario menciono "1.650.000.000 totales", pero 1.430.276.270 + 250.000.000 = 1.680.276.270. Hay una diferencia de $30.276.270 a confirmar.</t>
        </is>
      </c>
    </row>
    <row r="12">
      <c r="A12" s="4" t="inlineStr">
        <is>
          <t>Escenario 2 - Total CONFIRMADO a usar en el modelo</t>
        </is>
      </c>
      <c r="B12" s="7" t="n">
        <v>1650000000</v>
      </c>
      <c r="C12" s="4" t="inlineStr">
        <is>
          <t>VALOR USADO EN EL MODELO (celda editable). Ajustar si el numero correcto es 1.680.276.270 u otro.</t>
        </is>
      </c>
    </row>
    <row r="13">
      <c r="A13" s="4" t="inlineStr">
        <is>
          <t>Escenario 3 - Presupuesto total disponible</t>
        </is>
      </c>
      <c r="B13" s="5" t="n">
        <v>2000000000</v>
      </c>
      <c r="C13" s="4" t="inlineStr">
        <is>
          <t>Dato provisto por el usuario.</t>
        </is>
      </c>
    </row>
    <row r="15">
      <c r="A15" s="3" t="inlineStr">
        <is>
          <t>TABLA DE INFLACION ACUMULADA POR DURACION (fuente: hoja Hoja5 del archivo original)</t>
        </is>
      </c>
    </row>
    <row r="16">
      <c r="A16" s="8" t="inlineStr">
        <is>
          <t>Duracion contrato (meses)</t>
        </is>
      </c>
      <c r="B16" s="9" t="inlineStr">
        <is>
          <t>Inflacion acumulada</t>
        </is>
      </c>
    </row>
    <row r="17">
      <c r="A17" s="10" t="n">
        <v>12</v>
      </c>
      <c r="B17" s="11" t="n">
        <v>0.25</v>
      </c>
    </row>
    <row r="18">
      <c r="A18" s="10" t="n">
        <v>24</v>
      </c>
      <c r="B18" s="11" t="n">
        <v>0.68</v>
      </c>
    </row>
    <row r="19">
      <c r="A19" s="10" t="n">
        <v>36</v>
      </c>
      <c r="B19" s="11" t="n">
        <v>2.13</v>
      </c>
    </row>
    <row r="20">
      <c r="A20" s="12" t="inlineStr">
        <is>
          <t>Nota</t>
        </is>
      </c>
      <c r="B20" s="13" t="inlineStr"/>
      <c r="C20" s="14" t="inlineStr">
        <is>
          <t>Para contratos con duracion intermedia (10, 21 meses), el archivo original aplico manualmente la tasa del tramo mas cercano (10m -&gt; tasa de 12m; 21m -&gt; tasa de 24m). Se replico igual criterio.</t>
        </is>
      </c>
    </row>
    <row r="22">
      <c r="A22" s="3" t="inlineStr">
        <is>
          <t>CRITERIOS DE COSTO DE RENOVACION</t>
        </is>
      </c>
    </row>
    <row r="23">
      <c r="A23" s="12" t="inlineStr">
        <is>
          <t>Criterio 1 - FEE Actualizado</t>
        </is>
      </c>
      <c r="C23" s="15" t="inlineStr">
        <is>
          <t>Valor de referencia de mercado/sistema tomado del archivo original (columna "FEE ACTUALIZADO", hoja BASE CON PAUTA). Se trae como dato fijo porque su formula original enlazaba a un archivo externo no disponible.</t>
        </is>
      </c>
    </row>
    <row r="24">
      <c r="A24" s="12" t="inlineStr">
        <is>
          <t>Criterio 2 - FEE + Inflacion acumulada</t>
        </is>
      </c>
      <c r="C24" s="15" t="inlineStr">
        <is>
          <t>Formula: Monto FEE actual x (1 + Inflacion acumulada segun duracion). Reconstruido como formula viva en la hoja BASE ZBB.</t>
        </is>
      </c>
    </row>
    <row r="26">
      <c r="A26" s="3" t="inlineStr">
        <is>
          <t>PRIORIZACION Y ALCANCE</t>
        </is>
      </c>
    </row>
    <row r="27" ht="28" customHeight="1">
      <c r="A27" s="15" t="inlineStr">
        <is>
          <t>1) Los 30 contratos ZBB se ordenan por Tier (IMPERDIBLE &gt; DISCUTIBLE &gt; CERRO) y, dentro de cada tier, por Monto FEE actual descendente (proxy de importancia por defecto).</t>
        </is>
      </c>
    </row>
    <row r="28" ht="28" customHeight="1">
      <c r="A28" s="15" t="inlineStr">
        <is>
          <t>2) La columna "Prioridad" (hoja BASE ZBB) es editable: para cambiar el orden manual, escribir el numero de prioridad deseado y luego reordenar las filas (Datos &gt; Ordenar por columna Prioridad) para que las columnas de acumulado se recalculen correctamente.</t>
        </is>
      </c>
    </row>
    <row r="29" ht="28" customHeight="1">
      <c r="A29" s="15" t="inlineStr">
        <is>
          <t>3) El tier "CERRO" corresponde a locales que cierran / cambian de dueño y NO renuevan: se excluyen automaticamente de los 3 escenarios, sin consumir presupuesto (1 contrato: Helena Beach, $110.000.000).</t>
        </is>
      </c>
    </row>
    <row r="30" ht="28" customHeight="1">
      <c r="A30" s="15" t="inlineStr">
        <is>
          <t>4) "Cliente" = cada fila / punto de venta (Nombre de Fantasia), ya que cada uno tiene contrato y fee propios. Un mismo Razon Social/Distribuidor puede tener varios clientes (ej. COMERCIAL DEL MAR SA).</t>
        </is>
      </c>
    </row>
    <row r="32">
      <c r="A32" s="16" t="inlineStr">
        <is>
          <t>ALERTAS DE CALIDAD DE DATO (revisar antes de presentar)</t>
        </is>
      </c>
    </row>
    <row r="33" ht="40" customHeight="1">
      <c r="A33" s="12" t="inlineStr">
        <is>
          <t>Helena Beach (COMERCIAL DEL MAR SA)</t>
        </is>
      </c>
      <c r="C33" s="15" t="inlineStr">
        <is>
          <t>Codigo cliente = "CERRO CAMBIA DE DUEÑOS Y FORMATO" y tier=CERRO. Ademas, el "FEE ACTUALIZADO" (Criterio 1) del archivo original vino en $0 (formula rota / sin dato de origen). Se dejo en $0 y el contrato queda excluido de todas formas por ser CERRO.</t>
        </is>
      </c>
    </row>
    <row r="34" ht="40" customHeight="1">
      <c r="A34" s="12" t="inlineStr">
        <is>
          <t>Casa Pampa (COMERCIAL DEL MAR SA)</t>
        </is>
      </c>
      <c r="C34" s="15" t="inlineStr">
        <is>
          <t>Codigo cliente = "CERRO CAMBIA DE FORMATO PARA SER CALAMAR LOCO HOSTELS" pero el tier de ventas es IMPERDIBLE (cambia de formato/marca pero continuaria). Confirmar si corresponde mantenerlo como renovable.</t>
        </is>
      </c>
    </row>
    <row r="35" ht="40" customHeight="1">
      <c r="A35" s="12" t="inlineStr">
        <is>
          <t>Negroni Helena (BEBIDAS DEL MAR S.A.)</t>
        </is>
      </c>
      <c r="C35" s="15" t="inlineStr">
        <is>
          <t>Codigo cliente = "CERRO" y el comentario dice explicitamente "No renueva; cerro", pero el tier de ventas quedo como IMPERDIBLE. Contradiccion a resolver: hoy el modelo lo trata como IMPERDIBLE (se mantiene en el ranking). Si en la realidad no va a renovar, recomendamos pasarlo a tier CERRO.</t>
        </is>
      </c>
    </row>
    <row r="36" ht="40" customHeight="1">
      <c r="A36" s="12" t="inlineStr">
        <is>
          <t>El Descorche (BEER TAN S.A.)</t>
        </is>
      </c>
      <c r="C36" s="15" t="inlineStr">
        <is>
          <t>Comentario: "Renueva sin fee; no tiene volumen significativo y no esta en LOL". Podria no requerir presupuesto para renovarse (fee=0). Se mantuvo con su Monto FEE actual por consistencia; ajustar si corresponde.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12" customWidth="1" min="4" max="4"/>
    <col width="30" customWidth="1" min="5" max="5"/>
    <col width="24" customWidth="1" min="6" max="6"/>
    <col width="12" customWidth="1" min="7" max="7"/>
    <col width="16" customWidth="1" min="8" max="8"/>
    <col width="12" customWidth="1" min="9" max="9"/>
    <col width="12" customWidth="1" min="10" max="10"/>
    <col width="10" customWidth="1" min="11" max="11"/>
    <col width="30" customWidth="1" min="12" max="12"/>
    <col width="16" customWidth="1" min="13" max="13"/>
    <col width="12" customWidth="1" min="14" max="14"/>
    <col width="18" customWidth="1" min="15" max="15"/>
    <col width="18" customWidth="1" min="16" max="16"/>
    <col width="16" customWidth="1" min="17" max="17"/>
    <col width="12" customWidth="1" min="18" max="18"/>
    <col width="16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42" customHeight="1">
      <c r="A1" s="17" t="inlineStr">
        <is>
          <t>Prioridad</t>
        </is>
      </c>
      <c r="B1" s="17" t="inlineStr">
        <is>
          <t>Tier Base</t>
        </is>
      </c>
      <c r="C1" s="17" t="inlineStr">
        <is>
          <t>Alerta</t>
        </is>
      </c>
      <c r="D1" s="17" t="inlineStr">
        <is>
          <t>Codigo Cliente</t>
        </is>
      </c>
      <c r="E1" s="17" t="inlineStr">
        <is>
          <t>Cliente / PDV (Nombre de Fantasia)</t>
        </is>
      </c>
      <c r="F1" s="17" t="inlineStr">
        <is>
          <t>Razon Social (Distribuidor)</t>
        </is>
      </c>
      <c r="G1" s="17" t="inlineStr">
        <is>
          <t>Marca</t>
        </is>
      </c>
      <c r="H1" s="17" t="inlineStr">
        <is>
          <t>Rubro</t>
        </is>
      </c>
      <c r="I1" s="17" t="inlineStr">
        <is>
          <t>Vigencia Desde</t>
        </is>
      </c>
      <c r="J1" s="17" t="inlineStr">
        <is>
          <t>Vigencia Hasta</t>
        </is>
      </c>
      <c r="K1" s="17" t="inlineStr">
        <is>
          <t>Duracion (meses)</t>
        </is>
      </c>
      <c r="L1" s="17" t="inlineStr">
        <is>
          <t>Comentario original</t>
        </is>
      </c>
      <c r="M1" s="17" t="inlineStr">
        <is>
          <t>Monto FEE Actual (pagado)</t>
        </is>
      </c>
      <c r="N1" s="17" t="inlineStr">
        <is>
          <t>% Inflacion acumulada aplicable</t>
        </is>
      </c>
      <c r="O1" s="17" t="inlineStr">
        <is>
          <t>Criterio 1 - FEE Actualizado (mercado)</t>
        </is>
      </c>
      <c r="P1" s="17" t="inlineStr">
        <is>
          <t>Criterio 2 - FEE + Inflacion</t>
        </is>
      </c>
      <c r="Q1" s="17" t="inlineStr">
        <is>
          <t>Diferencia C2 vs C1 ($)</t>
        </is>
      </c>
      <c r="R1" s="17" t="inlineStr">
        <is>
          <t>Diferencia C2 vs C1 (%)</t>
        </is>
      </c>
      <c r="S1" s="17" t="inlineStr">
        <is>
          <t>Acumulado Criterio 1</t>
        </is>
      </c>
      <c r="T1" s="17" t="inlineStr">
        <is>
          <t>Acumulado Criterio 2</t>
        </is>
      </c>
      <c r="U1" s="17" t="inlineStr">
        <is>
          <t>Escenario 1 - Entra (C1)</t>
        </is>
      </c>
      <c r="V1" s="17" t="inlineStr">
        <is>
          <t>Escenario 1 - Entra (C2)</t>
        </is>
      </c>
      <c r="W1" s="17" t="inlineStr">
        <is>
          <t>Escenario 2 - Entra (C1)</t>
        </is>
      </c>
      <c r="X1" s="17" t="inlineStr">
        <is>
          <t>Escenario 2 - Entra (C2)</t>
        </is>
      </c>
      <c r="Y1" s="17" t="inlineStr">
        <is>
          <t>Escenario 3 - Entra (C1)</t>
        </is>
      </c>
      <c r="Z1" s="17" t="inlineStr">
        <is>
          <t>Escenario 3 - Entra (C2)</t>
        </is>
      </c>
    </row>
    <row r="2">
      <c r="A2" s="18" t="n">
        <v>1</v>
      </c>
      <c r="B2" s="19" t="inlineStr">
        <is>
          <t>IMPERDIBLE</t>
        </is>
      </c>
      <c r="C2" s="20" t="inlineStr"/>
      <c r="D2" s="4" t="n">
        <v>60743</v>
      </c>
      <c r="E2" s="4" t="inlineStr">
        <is>
          <t>Mr Jones</t>
        </is>
      </c>
      <c r="F2" s="4" t="inlineStr">
        <is>
          <t>Playa Bacana SA</t>
        </is>
      </c>
      <c r="G2" s="4" t="inlineStr">
        <is>
          <t>Budweiser</t>
        </is>
      </c>
      <c r="H2" s="4" t="inlineStr">
        <is>
          <t>NOCTURNIDAD/EVENTOS</t>
        </is>
      </c>
      <c r="I2" s="21" t="n">
        <v>45658</v>
      </c>
      <c r="J2" s="21" t="n">
        <v>46388</v>
      </c>
      <c r="K2" s="22" t="n">
        <v>24</v>
      </c>
      <c r="L2" s="14" t="inlineStr">
        <is>
          <t>Vence post 2026; charlar mas adelante</t>
        </is>
      </c>
      <c r="M2" s="6" t="n">
        <v>170000000</v>
      </c>
      <c r="N2" s="11" t="n">
        <v>0.68</v>
      </c>
      <c r="O2" s="5" t="n">
        <v>193195172.0202044</v>
      </c>
      <c r="P2" s="6">
        <f>M2*(1+N2)</f>
        <v/>
      </c>
      <c r="Q2" s="6">
        <f>P2-O2</f>
        <v/>
      </c>
      <c r="R2" s="23">
        <f>IF(O2=0,"",P2/O2-1)</f>
        <v/>
      </c>
      <c r="S2" s="6">
        <f>IF(B2="CERRO",0,O2)</f>
        <v/>
      </c>
      <c r="T2" s="6">
        <f>IF(B2="CERRO",0,P2)</f>
        <v/>
      </c>
      <c r="U2" s="22">
        <f>IF(B2="CERRO","NO APLICA",IF(S2&lt;=PARAMETROS!$B$9,"SI","NO"))</f>
        <v/>
      </c>
      <c r="V2" s="22">
        <f>IF(B2="CERRO","NO APLICA",IF(T2&lt;=PARAMETROS!$B$9,"SI","NO"))</f>
        <v/>
      </c>
      <c r="W2" s="22">
        <f>IF(B2="CERRO","NO APLICA",IF(S2&lt;=PARAMETROS!$B$12,"SI","NO"))</f>
        <v/>
      </c>
      <c r="X2" s="22">
        <f>IF(B2="CERRO","NO APLICA",IF(T2&lt;=PARAMETROS!$B$12,"SI","NO"))</f>
        <v/>
      </c>
      <c r="Y2" s="22">
        <f>IF(B2="CERRO","NO APLICA",IF(S2&lt;=PARAMETROS!$B$13,"SI","NO"))</f>
        <v/>
      </c>
      <c r="Z2" s="22">
        <f>IF(B2="CERRO","NO APLICA",IF(T2&lt;=PARAMETROS!$B$13,"SI","NO"))</f>
        <v/>
      </c>
    </row>
    <row r="3">
      <c r="A3" s="18" t="n">
        <v>2</v>
      </c>
      <c r="B3" s="19" t="inlineStr">
        <is>
          <t>IMPERDIBLE</t>
        </is>
      </c>
      <c r="C3" s="20" t="inlineStr"/>
      <c r="D3" s="4" t="n">
        <v>60635</v>
      </c>
      <c r="E3" s="4" t="inlineStr">
        <is>
          <t>Quba</t>
        </is>
      </c>
      <c r="F3" s="4" t="inlineStr">
        <is>
          <t>Purasal SRL</t>
        </is>
      </c>
      <c r="G3" s="4" t="inlineStr">
        <is>
          <t>Budweiser</t>
        </is>
      </c>
      <c r="H3" s="4" t="inlineStr">
        <is>
          <t>NOCTURNIDAD/EVENTOS</t>
        </is>
      </c>
      <c r="I3" s="21" t="n">
        <v>45658</v>
      </c>
      <c r="J3" s="21" t="n">
        <v>46388</v>
      </c>
      <c r="K3" s="22" t="n">
        <v>24</v>
      </c>
      <c r="L3" s="14" t="inlineStr">
        <is>
          <t>Vence post 2026; charlar mas adelante</t>
        </is>
      </c>
      <c r="M3" s="6" t="n">
        <v>160000000</v>
      </c>
      <c r="N3" s="11" t="n">
        <v>0.68</v>
      </c>
      <c r="O3" s="5" t="n">
        <v>181830750.1366629</v>
      </c>
      <c r="P3" s="6">
        <f>M3*(1+N3)</f>
        <v/>
      </c>
      <c r="Q3" s="6">
        <f>P3-O3</f>
        <v/>
      </c>
      <c r="R3" s="23">
        <f>IF(O3=0,"",P3/O3-1)</f>
        <v/>
      </c>
      <c r="S3" s="6">
        <f>IF(B3="CERRO",S2,S2+O3)</f>
        <v/>
      </c>
      <c r="T3" s="6">
        <f>IF(B3="CERRO",T2,T2+P3)</f>
        <v/>
      </c>
      <c r="U3" s="22">
        <f>IF(B3="CERRO","NO APLICA",IF(S3&lt;=PARAMETROS!$B$9,"SI","NO"))</f>
        <v/>
      </c>
      <c r="V3" s="22">
        <f>IF(B3="CERRO","NO APLICA",IF(T3&lt;=PARAMETROS!$B$9,"SI","NO"))</f>
        <v/>
      </c>
      <c r="W3" s="22">
        <f>IF(B3="CERRO","NO APLICA",IF(S3&lt;=PARAMETROS!$B$12,"SI","NO"))</f>
        <v/>
      </c>
      <c r="X3" s="22">
        <f>IF(B3="CERRO","NO APLICA",IF(T3&lt;=PARAMETROS!$B$12,"SI","NO"))</f>
        <v/>
      </c>
      <c r="Y3" s="22">
        <f>IF(B3="CERRO","NO APLICA",IF(S3&lt;=PARAMETROS!$B$13,"SI","NO"))</f>
        <v/>
      </c>
      <c r="Z3" s="22">
        <f>IF(B3="CERRO","NO APLICA",IF(T3&lt;=PARAMETROS!$B$13,"SI","NO"))</f>
        <v/>
      </c>
    </row>
    <row r="4">
      <c r="A4" s="18" t="n">
        <v>3</v>
      </c>
      <c r="B4" s="19" t="inlineStr">
        <is>
          <t>IMPERDIBLE</t>
        </is>
      </c>
      <c r="C4" s="20" t="inlineStr"/>
      <c r="D4" s="4" t="n">
        <v>1358</v>
      </c>
      <c r="E4" s="4" t="inlineStr">
        <is>
          <t>Tante-Masse-La cabrera</t>
        </is>
      </c>
      <c r="F4" s="4" t="inlineStr">
        <is>
          <t>Premium s.a</t>
        </is>
      </c>
      <c r="G4" s="4" t="inlineStr">
        <is>
          <t>Stella Artois</t>
        </is>
      </c>
      <c r="H4" s="4" t="inlineStr">
        <is>
          <t>GASTRONOMIA</t>
        </is>
      </c>
      <c r="I4" s="21" t="n">
        <v>45658</v>
      </c>
      <c r="J4" s="21" t="n">
        <v>46388</v>
      </c>
      <c r="K4" s="22" t="n">
        <v>24</v>
      </c>
      <c r="L4" s="14" t="inlineStr">
        <is>
          <t>Vence post 2026; charlar mas adelante</t>
        </is>
      </c>
      <c r="M4" s="6" t="n">
        <v>140000000</v>
      </c>
      <c r="N4" s="11" t="n">
        <v>0.68</v>
      </c>
      <c r="O4" s="5" t="n">
        <v>159101906.3695801</v>
      </c>
      <c r="P4" s="6">
        <f>M4*(1+N4)</f>
        <v/>
      </c>
      <c r="Q4" s="6">
        <f>P4-O4</f>
        <v/>
      </c>
      <c r="R4" s="23">
        <f>IF(O4=0,"",P4/O4-1)</f>
        <v/>
      </c>
      <c r="S4" s="6">
        <f>IF(B4="CERRO",S3,S3+O4)</f>
        <v/>
      </c>
      <c r="T4" s="6">
        <f>IF(B4="CERRO",T3,T3+P4)</f>
        <v/>
      </c>
      <c r="U4" s="22">
        <f>IF(B4="CERRO","NO APLICA",IF(S4&lt;=PARAMETROS!$B$9,"SI","NO"))</f>
        <v/>
      </c>
      <c r="V4" s="22">
        <f>IF(B4="CERRO","NO APLICA",IF(T4&lt;=PARAMETROS!$B$9,"SI","NO"))</f>
        <v/>
      </c>
      <c r="W4" s="22">
        <f>IF(B4="CERRO","NO APLICA",IF(S4&lt;=PARAMETROS!$B$12,"SI","NO"))</f>
        <v/>
      </c>
      <c r="X4" s="22">
        <f>IF(B4="CERRO","NO APLICA",IF(T4&lt;=PARAMETROS!$B$12,"SI","NO"))</f>
        <v/>
      </c>
      <c r="Y4" s="22">
        <f>IF(B4="CERRO","NO APLICA",IF(S4&lt;=PARAMETROS!$B$13,"SI","NO"))</f>
        <v/>
      </c>
      <c r="Z4" s="22">
        <f>IF(B4="CERRO","NO APLICA",IF(T4&lt;=PARAMETROS!$B$13,"SI","NO"))</f>
        <v/>
      </c>
    </row>
    <row r="5">
      <c r="A5" s="18" t="n">
        <v>4</v>
      </c>
      <c r="B5" s="19" t="inlineStr">
        <is>
          <t>IMPERDIBLE</t>
        </is>
      </c>
      <c r="C5" s="20" t="inlineStr"/>
      <c r="D5" s="4" t="n">
        <v>60834</v>
      </c>
      <c r="E5" s="4" t="inlineStr">
        <is>
          <t>Bruto</t>
        </is>
      </c>
      <c r="F5" s="4" t="inlineStr">
        <is>
          <t>Distribución Monkey SA</t>
        </is>
      </c>
      <c r="G5" s="4" t="inlineStr">
        <is>
          <t>Budweiser</t>
        </is>
      </c>
      <c r="H5" s="4" t="inlineStr">
        <is>
          <t>NOCTURNIDAD/EVENTOS</t>
        </is>
      </c>
      <c r="I5" s="21" t="n">
        <v>45292</v>
      </c>
      <c r="J5" s="21" t="n">
        <v>46388</v>
      </c>
      <c r="K5" s="22" t="n">
        <v>36</v>
      </c>
      <c r="L5" s="14" t="inlineStr">
        <is>
          <t>Vence post 2026; charlar mas adelante</t>
        </is>
      </c>
      <c r="M5" s="6" t="n">
        <v>95000000</v>
      </c>
      <c r="N5" s="11" t="n">
        <v>2.13</v>
      </c>
      <c r="O5" s="5" t="n">
        <v>313371403.9137917</v>
      </c>
      <c r="P5" s="6">
        <f>M5*(1+N5)</f>
        <v/>
      </c>
      <c r="Q5" s="6">
        <f>P5-O5</f>
        <v/>
      </c>
      <c r="R5" s="23">
        <f>IF(O5=0,"",P5/O5-1)</f>
        <v/>
      </c>
      <c r="S5" s="6">
        <f>IF(B5="CERRO",S4,S4+O5)</f>
        <v/>
      </c>
      <c r="T5" s="6">
        <f>IF(B5="CERRO",T4,T4+P5)</f>
        <v/>
      </c>
      <c r="U5" s="22">
        <f>IF(B5="CERRO","NO APLICA",IF(S5&lt;=PARAMETROS!$B$9,"SI","NO"))</f>
        <v/>
      </c>
      <c r="V5" s="22">
        <f>IF(B5="CERRO","NO APLICA",IF(T5&lt;=PARAMETROS!$B$9,"SI","NO"))</f>
        <v/>
      </c>
      <c r="W5" s="22">
        <f>IF(B5="CERRO","NO APLICA",IF(S5&lt;=PARAMETROS!$B$12,"SI","NO"))</f>
        <v/>
      </c>
      <c r="X5" s="22">
        <f>IF(B5="CERRO","NO APLICA",IF(T5&lt;=PARAMETROS!$B$12,"SI","NO"))</f>
        <v/>
      </c>
      <c r="Y5" s="22">
        <f>IF(B5="CERRO","NO APLICA",IF(S5&lt;=PARAMETROS!$B$13,"SI","NO"))</f>
        <v/>
      </c>
      <c r="Z5" s="22">
        <f>IF(B5="CERRO","NO APLICA",IF(T5&lt;=PARAMETROS!$B$13,"SI","NO"))</f>
        <v/>
      </c>
    </row>
    <row r="6">
      <c r="A6" s="18" t="n">
        <v>5</v>
      </c>
      <c r="B6" s="19" t="inlineStr">
        <is>
          <t>IMPERDIBLE</t>
        </is>
      </c>
      <c r="C6" s="20" t="inlineStr"/>
      <c r="D6" s="4" t="n">
        <v>62866</v>
      </c>
      <c r="E6" s="4" t="inlineStr">
        <is>
          <t>Samsara</t>
        </is>
      </c>
      <c r="F6" s="4" t="inlineStr">
        <is>
          <t>Sunny Beach SA</t>
        </is>
      </c>
      <c r="G6" s="4" t="inlineStr">
        <is>
          <t>Brahma</t>
        </is>
      </c>
      <c r="H6" s="4" t="inlineStr">
        <is>
          <t>NOCTURNIDAD/EVENTOS</t>
        </is>
      </c>
      <c r="I6" s="21" t="n">
        <v>45658</v>
      </c>
      <c r="J6" s="21" t="n">
        <v>46388</v>
      </c>
      <c r="K6" s="22" t="n">
        <v>24</v>
      </c>
      <c r="L6" s="14" t="inlineStr">
        <is>
          <t>Vence post 2026; charlar mas adelante</t>
        </is>
      </c>
      <c r="M6" s="6" t="n">
        <v>75000000</v>
      </c>
      <c r="N6" s="11" t="n">
        <v>0.68</v>
      </c>
      <c r="O6" s="5" t="n">
        <v>85233164.12656076</v>
      </c>
      <c r="P6" s="6">
        <f>M6*(1+N6)</f>
        <v/>
      </c>
      <c r="Q6" s="6">
        <f>P6-O6</f>
        <v/>
      </c>
      <c r="R6" s="23">
        <f>IF(O6=0,"",P6/O6-1)</f>
        <v/>
      </c>
      <c r="S6" s="6">
        <f>IF(B6="CERRO",S5,S5+O6)</f>
        <v/>
      </c>
      <c r="T6" s="6">
        <f>IF(B6="CERRO",T5,T5+P6)</f>
        <v/>
      </c>
      <c r="U6" s="22">
        <f>IF(B6="CERRO","NO APLICA",IF(S6&lt;=PARAMETROS!$B$9,"SI","NO"))</f>
        <v/>
      </c>
      <c r="V6" s="22">
        <f>IF(B6="CERRO","NO APLICA",IF(T6&lt;=PARAMETROS!$B$9,"SI","NO"))</f>
        <v/>
      </c>
      <c r="W6" s="22">
        <f>IF(B6="CERRO","NO APLICA",IF(S6&lt;=PARAMETROS!$B$12,"SI","NO"))</f>
        <v/>
      </c>
      <c r="X6" s="22">
        <f>IF(B6="CERRO","NO APLICA",IF(T6&lt;=PARAMETROS!$B$12,"SI","NO"))</f>
        <v/>
      </c>
      <c r="Y6" s="22">
        <f>IF(B6="CERRO","NO APLICA",IF(S6&lt;=PARAMETROS!$B$13,"SI","NO"))</f>
        <v/>
      </c>
      <c r="Z6" s="22">
        <f>IF(B6="CERRO","NO APLICA",IF(T6&lt;=PARAMETROS!$B$13,"SI","NO"))</f>
        <v/>
      </c>
    </row>
    <row r="7">
      <c r="A7" s="18" t="n">
        <v>6</v>
      </c>
      <c r="B7" s="19" t="inlineStr">
        <is>
          <t>IMPERDIBLE</t>
        </is>
      </c>
      <c r="C7" s="20" t="inlineStr"/>
      <c r="D7" s="4" t="n">
        <v>3238</v>
      </c>
      <c r="E7" s="4" t="inlineStr">
        <is>
          <t>Brothers</t>
        </is>
      </c>
      <c r="F7" s="4" t="inlineStr">
        <is>
          <t>Diego Heter</t>
        </is>
      </c>
      <c r="G7" s="4" t="inlineStr">
        <is>
          <t>Patagonia</t>
        </is>
      </c>
      <c r="H7" s="4" t="inlineStr">
        <is>
          <t>NOCTURNIDAD/EVENTOS</t>
        </is>
      </c>
      <c r="I7" s="21" t="n">
        <v>45627</v>
      </c>
      <c r="J7" s="21" t="n">
        <v>46357</v>
      </c>
      <c r="K7" s="22" t="n">
        <v>24</v>
      </c>
      <c r="L7" s="14" t="inlineStr">
        <is>
          <t>Pendiente de revisar con región</t>
        </is>
      </c>
      <c r="M7" s="6" t="n">
        <v>65000000</v>
      </c>
      <c r="N7" s="11" t="n">
        <v>0.68</v>
      </c>
      <c r="O7" s="5" t="n">
        <v>74689748.23037657</v>
      </c>
      <c r="P7" s="6">
        <f>M7*(1+N7)</f>
        <v/>
      </c>
      <c r="Q7" s="6">
        <f>P7-O7</f>
        <v/>
      </c>
      <c r="R7" s="23">
        <f>IF(O7=0,"",P7/O7-1)</f>
        <v/>
      </c>
      <c r="S7" s="6">
        <f>IF(B7="CERRO",S6,S6+O7)</f>
        <v/>
      </c>
      <c r="T7" s="6">
        <f>IF(B7="CERRO",T6,T6+P7)</f>
        <v/>
      </c>
      <c r="U7" s="22">
        <f>IF(B7="CERRO","NO APLICA",IF(S7&lt;=PARAMETROS!$B$9,"SI","NO"))</f>
        <v/>
      </c>
      <c r="V7" s="22">
        <f>IF(B7="CERRO","NO APLICA",IF(T7&lt;=PARAMETROS!$B$9,"SI","NO"))</f>
        <v/>
      </c>
      <c r="W7" s="22">
        <f>IF(B7="CERRO","NO APLICA",IF(S7&lt;=PARAMETROS!$B$12,"SI","NO"))</f>
        <v/>
      </c>
      <c r="X7" s="22">
        <f>IF(B7="CERRO","NO APLICA",IF(T7&lt;=PARAMETROS!$B$12,"SI","NO"))</f>
        <v/>
      </c>
      <c r="Y7" s="22">
        <f>IF(B7="CERRO","NO APLICA",IF(S7&lt;=PARAMETROS!$B$13,"SI","NO"))</f>
        <v/>
      </c>
      <c r="Z7" s="22">
        <f>IF(B7="CERRO","NO APLICA",IF(T7&lt;=PARAMETROS!$B$13,"SI","NO"))</f>
        <v/>
      </c>
    </row>
    <row r="8">
      <c r="A8" s="18" t="n">
        <v>7</v>
      </c>
      <c r="B8" s="19" t="inlineStr">
        <is>
          <t>IMPERDIBLE</t>
        </is>
      </c>
      <c r="C8" s="20" t="inlineStr"/>
      <c r="D8" s="4" t="n">
        <v>0</v>
      </c>
      <c r="E8" s="4" t="inlineStr">
        <is>
          <t>La Gamba</t>
        </is>
      </c>
      <c r="F8" s="4" t="inlineStr">
        <is>
          <t>Eras comercializaciones S.R.L</t>
        </is>
      </c>
      <c r="G8" s="4" t="inlineStr">
        <is>
          <t>Stella Artois</t>
        </is>
      </c>
      <c r="H8" s="4" t="inlineStr">
        <is>
          <t>BALNEARIOS</t>
        </is>
      </c>
      <c r="I8" s="21" t="n">
        <v>45658</v>
      </c>
      <c r="J8" s="21" t="n">
        <v>46388</v>
      </c>
      <c r="K8" s="22" t="n">
        <v>24</v>
      </c>
      <c r="L8" s="14" t="inlineStr">
        <is>
          <t>Vence post 2026; charlar mas adelante</t>
        </is>
      </c>
      <c r="M8" s="6" t="n">
        <v>60000000</v>
      </c>
      <c r="N8" s="11" t="n">
        <v>0.68</v>
      </c>
      <c r="O8" s="5" t="n">
        <v>68186531.30124861</v>
      </c>
      <c r="P8" s="6">
        <f>M8*(1+N8)</f>
        <v/>
      </c>
      <c r="Q8" s="6">
        <f>P8-O8</f>
        <v/>
      </c>
      <c r="R8" s="23">
        <f>IF(O8=0,"",P8/O8-1)</f>
        <v/>
      </c>
      <c r="S8" s="6">
        <f>IF(B8="CERRO",S7,S7+O8)</f>
        <v/>
      </c>
      <c r="T8" s="6">
        <f>IF(B8="CERRO",T7,T7+P8)</f>
        <v/>
      </c>
      <c r="U8" s="22">
        <f>IF(B8="CERRO","NO APLICA",IF(S8&lt;=PARAMETROS!$B$9,"SI","NO"))</f>
        <v/>
      </c>
      <c r="V8" s="22">
        <f>IF(B8="CERRO","NO APLICA",IF(T8&lt;=PARAMETROS!$B$9,"SI","NO"))</f>
        <v/>
      </c>
      <c r="W8" s="22">
        <f>IF(B8="CERRO","NO APLICA",IF(S8&lt;=PARAMETROS!$B$12,"SI","NO"))</f>
        <v/>
      </c>
      <c r="X8" s="22">
        <f>IF(B8="CERRO","NO APLICA",IF(T8&lt;=PARAMETROS!$B$12,"SI","NO"))</f>
        <v/>
      </c>
      <c r="Y8" s="22">
        <f>IF(B8="CERRO","NO APLICA",IF(S8&lt;=PARAMETROS!$B$13,"SI","NO"))</f>
        <v/>
      </c>
      <c r="Z8" s="22">
        <f>IF(B8="CERRO","NO APLICA",IF(T8&lt;=PARAMETROS!$B$13,"SI","NO"))</f>
        <v/>
      </c>
    </row>
    <row r="9">
      <c r="A9" s="18" t="n">
        <v>8</v>
      </c>
      <c r="B9" s="19" t="inlineStr">
        <is>
          <t>IMPERDIBLE</t>
        </is>
      </c>
      <c r="C9" s="24" t="inlineStr">
        <is>
          <t>Codigo de cliente dice CERRO (cambia de formato) pero tier=IMPERDIBLE. Confirmar.</t>
        </is>
      </c>
      <c r="D9" s="4" t="inlineStr">
        <is>
          <t>CERRO CAMBIA DE FORMATO PARA SER CALAMAR LOCO HOSTELS</t>
        </is>
      </c>
      <c r="E9" s="4" t="inlineStr">
        <is>
          <t>Casa Pampa</t>
        </is>
      </c>
      <c r="F9" s="4" t="inlineStr">
        <is>
          <t>SANTIAGO DE COMPOSTELA 1943 S.A.</t>
        </is>
      </c>
      <c r="G9" s="4" t="inlineStr">
        <is>
          <t>Stella Artois</t>
        </is>
      </c>
      <c r="H9" s="4" t="inlineStr">
        <is>
          <t>GASTRONOMIA</t>
        </is>
      </c>
      <c r="I9" s="21" t="n">
        <v>45658</v>
      </c>
      <c r="J9" s="21" t="n">
        <v>46388</v>
      </c>
      <c r="K9" s="22" t="n">
        <v>24</v>
      </c>
      <c r="L9" s="14" t="inlineStr">
        <is>
          <t>Vence post 2026; charlar mas adelante</t>
        </is>
      </c>
      <c r="M9" s="6" t="n">
        <v>25000000</v>
      </c>
      <c r="N9" s="11" t="n">
        <v>0.68</v>
      </c>
      <c r="O9" s="5" t="n">
        <v>28411054.70885359</v>
      </c>
      <c r="P9" s="6">
        <f>M9*(1+N9)</f>
        <v/>
      </c>
      <c r="Q9" s="6">
        <f>P9-O9</f>
        <v/>
      </c>
      <c r="R9" s="23">
        <f>IF(O9=0,"",P9/O9-1)</f>
        <v/>
      </c>
      <c r="S9" s="6">
        <f>IF(B9="CERRO",S8,S8+O9)</f>
        <v/>
      </c>
      <c r="T9" s="6">
        <f>IF(B9="CERRO",T8,T8+P9)</f>
        <v/>
      </c>
      <c r="U9" s="22">
        <f>IF(B9="CERRO","NO APLICA",IF(S9&lt;=PARAMETROS!$B$9,"SI","NO"))</f>
        <v/>
      </c>
      <c r="V9" s="22">
        <f>IF(B9="CERRO","NO APLICA",IF(T9&lt;=PARAMETROS!$B$9,"SI","NO"))</f>
        <v/>
      </c>
      <c r="W9" s="22">
        <f>IF(B9="CERRO","NO APLICA",IF(S9&lt;=PARAMETROS!$B$12,"SI","NO"))</f>
        <v/>
      </c>
      <c r="X9" s="22">
        <f>IF(B9="CERRO","NO APLICA",IF(T9&lt;=PARAMETROS!$B$12,"SI","NO"))</f>
        <v/>
      </c>
      <c r="Y9" s="22">
        <f>IF(B9="CERRO","NO APLICA",IF(S9&lt;=PARAMETROS!$B$13,"SI","NO"))</f>
        <v/>
      </c>
      <c r="Z9" s="22">
        <f>IF(B9="CERRO","NO APLICA",IF(T9&lt;=PARAMETROS!$B$13,"SI","NO"))</f>
        <v/>
      </c>
    </row>
    <row r="10">
      <c r="A10" s="18" t="n">
        <v>9</v>
      </c>
      <c r="B10" s="19" t="inlineStr">
        <is>
          <t>IMPERDIBLE</t>
        </is>
      </c>
      <c r="C10" s="20" t="inlineStr"/>
      <c r="D10" s="4" t="n">
        <v>60973</v>
      </c>
      <c r="E10" s="4" t="inlineStr">
        <is>
          <t>ESTACION CENTRAL</t>
        </is>
      </c>
      <c r="F10" s="4" t="inlineStr">
        <is>
          <t>VAMOELPACK MDP S.A.</t>
        </is>
      </c>
      <c r="G10" s="4" t="inlineStr">
        <is>
          <t>Corona</t>
        </is>
      </c>
      <c r="H10" s="4" t="inlineStr">
        <is>
          <t>NOCTURNIDAD/EVENTOS</t>
        </is>
      </c>
      <c r="I10" s="21" t="n">
        <v>45292</v>
      </c>
      <c r="J10" s="21" t="n">
        <v>46388</v>
      </c>
      <c r="K10" s="22" t="n">
        <v>36</v>
      </c>
      <c r="L10" s="14" t="inlineStr">
        <is>
          <t>Vence post 2026; charlar mas adelante</t>
        </is>
      </c>
      <c r="M10" s="6" t="n">
        <v>25000000</v>
      </c>
      <c r="N10" s="11" t="n">
        <v>2.13</v>
      </c>
      <c r="O10" s="5" t="n">
        <v>56076988.06878379</v>
      </c>
      <c r="P10" s="6">
        <f>M10*(1+N10)</f>
        <v/>
      </c>
      <c r="Q10" s="6">
        <f>P10-O10</f>
        <v/>
      </c>
      <c r="R10" s="23">
        <f>IF(O10=0,"",P10/O10-1)</f>
        <v/>
      </c>
      <c r="S10" s="6">
        <f>IF(B10="CERRO",S9,S9+O10)</f>
        <v/>
      </c>
      <c r="T10" s="6">
        <f>IF(B10="CERRO",T9,T9+P10)</f>
        <v/>
      </c>
      <c r="U10" s="22">
        <f>IF(B10="CERRO","NO APLICA",IF(S10&lt;=PARAMETROS!$B$9,"SI","NO"))</f>
        <v/>
      </c>
      <c r="V10" s="22">
        <f>IF(B10="CERRO","NO APLICA",IF(T10&lt;=PARAMETROS!$B$9,"SI","NO"))</f>
        <v/>
      </c>
      <c r="W10" s="22">
        <f>IF(B10="CERRO","NO APLICA",IF(S10&lt;=PARAMETROS!$B$12,"SI","NO"))</f>
        <v/>
      </c>
      <c r="X10" s="22">
        <f>IF(B10="CERRO","NO APLICA",IF(T10&lt;=PARAMETROS!$B$12,"SI","NO"))</f>
        <v/>
      </c>
      <c r="Y10" s="22">
        <f>IF(B10="CERRO","NO APLICA",IF(S10&lt;=PARAMETROS!$B$13,"SI","NO"))</f>
        <v/>
      </c>
      <c r="Z10" s="22">
        <f>IF(B10="CERRO","NO APLICA",IF(T10&lt;=PARAMETROS!$B$13,"SI","NO"))</f>
        <v/>
      </c>
    </row>
    <row r="11">
      <c r="A11" s="18" t="n">
        <v>10</v>
      </c>
      <c r="B11" s="19" t="inlineStr">
        <is>
          <t>IMPERDIBLE</t>
        </is>
      </c>
      <c r="C11" s="20" t="inlineStr"/>
      <c r="D11" s="4" t="n">
        <v>60917</v>
      </c>
      <c r="E11" s="4" t="inlineStr">
        <is>
          <t>LOS TOLDOS VIEJOS</t>
        </is>
      </c>
      <c r="F11" s="4" t="inlineStr">
        <is>
          <t>COUNTRY GRILLS S. R. L.</t>
        </is>
      </c>
      <c r="G11" s="4" t="inlineStr">
        <is>
          <t>Stella Artois</t>
        </is>
      </c>
      <c r="H11" s="4" t="inlineStr">
        <is>
          <t>GASTRONOMIA</t>
        </is>
      </c>
      <c r="I11" s="21" t="n">
        <v>45658</v>
      </c>
      <c r="J11" s="21" t="n">
        <v>46388</v>
      </c>
      <c r="K11" s="22" t="n">
        <v>24</v>
      </c>
      <c r="L11" s="14" t="inlineStr">
        <is>
          <t>Vence post 2026; charlar mas adelante</t>
        </is>
      </c>
      <c r="M11" s="6" t="n">
        <v>16000000</v>
      </c>
      <c r="N11" s="11" t="n">
        <v>0.68</v>
      </c>
      <c r="O11" s="5" t="n">
        <v>18183075.01366629</v>
      </c>
      <c r="P11" s="6">
        <f>M11*(1+N11)</f>
        <v/>
      </c>
      <c r="Q11" s="6">
        <f>P11-O11</f>
        <v/>
      </c>
      <c r="R11" s="23">
        <f>IF(O11=0,"",P11/O11-1)</f>
        <v/>
      </c>
      <c r="S11" s="6">
        <f>IF(B11="CERRO",S10,S10+O11)</f>
        <v/>
      </c>
      <c r="T11" s="6">
        <f>IF(B11="CERRO",T10,T10+P11)</f>
        <v/>
      </c>
      <c r="U11" s="22">
        <f>IF(B11="CERRO","NO APLICA",IF(S11&lt;=PARAMETROS!$B$9,"SI","NO"))</f>
        <v/>
      </c>
      <c r="V11" s="22">
        <f>IF(B11="CERRO","NO APLICA",IF(T11&lt;=PARAMETROS!$B$9,"SI","NO"))</f>
        <v/>
      </c>
      <c r="W11" s="22">
        <f>IF(B11="CERRO","NO APLICA",IF(S11&lt;=PARAMETROS!$B$12,"SI","NO"))</f>
        <v/>
      </c>
      <c r="X11" s="22">
        <f>IF(B11="CERRO","NO APLICA",IF(T11&lt;=PARAMETROS!$B$12,"SI","NO"))</f>
        <v/>
      </c>
      <c r="Y11" s="22">
        <f>IF(B11="CERRO","NO APLICA",IF(S11&lt;=PARAMETROS!$B$13,"SI","NO"))</f>
        <v/>
      </c>
      <c r="Z11" s="22">
        <f>IF(B11="CERRO","NO APLICA",IF(T11&lt;=PARAMETROS!$B$13,"SI","NO"))</f>
        <v/>
      </c>
    </row>
    <row r="12">
      <c r="A12" s="18" t="n">
        <v>11</v>
      </c>
      <c r="B12" s="19" t="inlineStr">
        <is>
          <t>IMPERDIBLE</t>
        </is>
      </c>
      <c r="C12" s="20" t="inlineStr"/>
      <c r="D12" s="4" t="n">
        <v>62431</v>
      </c>
      <c r="E12" s="4" t="inlineStr">
        <is>
          <t>Villa Aluminé</t>
        </is>
      </c>
      <c r="F12" s="4" t="inlineStr">
        <is>
          <t>Villa Aluminé SA</t>
        </is>
      </c>
      <c r="G12" s="4" t="inlineStr">
        <is>
          <t>Stella Artois</t>
        </is>
      </c>
      <c r="H12" s="4" t="inlineStr">
        <is>
          <t>NOCTURNIDAD/EVENTOS</t>
        </is>
      </c>
      <c r="I12" s="21" t="n">
        <v>45658</v>
      </c>
      <c r="J12" s="21" t="n">
        <v>46388</v>
      </c>
      <c r="K12" s="22" t="n">
        <v>24</v>
      </c>
      <c r="L12" s="14" t="inlineStr">
        <is>
          <t>Vence post 2026; charlar mas adelante</t>
        </is>
      </c>
      <c r="M12" s="6" t="n">
        <v>16000000</v>
      </c>
      <c r="N12" s="11" t="n">
        <v>0.68</v>
      </c>
      <c r="O12" s="5" t="n">
        <v>18183075.01366629</v>
      </c>
      <c r="P12" s="6">
        <f>M12*(1+N12)</f>
        <v/>
      </c>
      <c r="Q12" s="6">
        <f>P12-O12</f>
        <v/>
      </c>
      <c r="R12" s="23">
        <f>IF(O12=0,"",P12/O12-1)</f>
        <v/>
      </c>
      <c r="S12" s="6">
        <f>IF(B12="CERRO",S11,S11+O12)</f>
        <v/>
      </c>
      <c r="T12" s="6">
        <f>IF(B12="CERRO",T11,T11+P12)</f>
        <v/>
      </c>
      <c r="U12" s="22">
        <f>IF(B12="CERRO","NO APLICA",IF(S12&lt;=PARAMETROS!$B$9,"SI","NO"))</f>
        <v/>
      </c>
      <c r="V12" s="22">
        <f>IF(B12="CERRO","NO APLICA",IF(T12&lt;=PARAMETROS!$B$9,"SI","NO"))</f>
        <v/>
      </c>
      <c r="W12" s="22">
        <f>IF(B12="CERRO","NO APLICA",IF(S12&lt;=PARAMETROS!$B$12,"SI","NO"))</f>
        <v/>
      </c>
      <c r="X12" s="22">
        <f>IF(B12="CERRO","NO APLICA",IF(T12&lt;=PARAMETROS!$B$12,"SI","NO"))</f>
        <v/>
      </c>
      <c r="Y12" s="22">
        <f>IF(B12="CERRO","NO APLICA",IF(S12&lt;=PARAMETROS!$B$13,"SI","NO"))</f>
        <v/>
      </c>
      <c r="Z12" s="22">
        <f>IF(B12="CERRO","NO APLICA",IF(T12&lt;=PARAMETROS!$B$13,"SI","NO"))</f>
        <v/>
      </c>
    </row>
    <row r="13">
      <c r="A13" s="18" t="n">
        <v>12</v>
      </c>
      <c r="B13" s="19" t="inlineStr">
        <is>
          <t>IMPERDIBLE</t>
        </is>
      </c>
      <c r="C13" s="20" t="inlineStr"/>
      <c r="D13" s="4" t="n">
        <v>8383</v>
      </c>
      <c r="E13" s="4" t="inlineStr">
        <is>
          <t>Camping Americano</t>
        </is>
      </c>
      <c r="F13" s="4" t="inlineStr">
        <is>
          <t>EPICURAE AMERICANOSERV S.A</t>
        </is>
      </c>
      <c r="G13" s="4" t="inlineStr">
        <is>
          <t>Corona</t>
        </is>
      </c>
      <c r="H13" s="4" t="inlineStr">
        <is>
          <t>OTROS</t>
        </is>
      </c>
      <c r="I13" s="21" t="n">
        <v>45627</v>
      </c>
      <c r="J13" s="21" t="n">
        <v>46357</v>
      </c>
      <c r="K13" s="22" t="n">
        <v>24</v>
      </c>
      <c r="L13" s="14" t="inlineStr">
        <is>
          <t>Pendiente de revisar con región</t>
        </is>
      </c>
      <c r="M13" s="6" t="n">
        <v>11000000</v>
      </c>
      <c r="N13" s="11" t="n">
        <v>0.68</v>
      </c>
      <c r="O13" s="5" t="n">
        <v>12639803.54667911</v>
      </c>
      <c r="P13" s="6">
        <f>M13*(1+N13)</f>
        <v/>
      </c>
      <c r="Q13" s="6">
        <f>P13-O13</f>
        <v/>
      </c>
      <c r="R13" s="23">
        <f>IF(O13=0,"",P13/O13-1)</f>
        <v/>
      </c>
      <c r="S13" s="6">
        <f>IF(B13="CERRO",S12,S12+O13)</f>
        <v/>
      </c>
      <c r="T13" s="6">
        <f>IF(B13="CERRO",T12,T12+P13)</f>
        <v/>
      </c>
      <c r="U13" s="22">
        <f>IF(B13="CERRO","NO APLICA",IF(S13&lt;=PARAMETROS!$B$9,"SI","NO"))</f>
        <v/>
      </c>
      <c r="V13" s="22">
        <f>IF(B13="CERRO","NO APLICA",IF(T13&lt;=PARAMETROS!$B$9,"SI","NO"))</f>
        <v/>
      </c>
      <c r="W13" s="22">
        <f>IF(B13="CERRO","NO APLICA",IF(S13&lt;=PARAMETROS!$B$12,"SI","NO"))</f>
        <v/>
      </c>
      <c r="X13" s="22">
        <f>IF(B13="CERRO","NO APLICA",IF(T13&lt;=PARAMETROS!$B$12,"SI","NO"))</f>
        <v/>
      </c>
      <c r="Y13" s="22">
        <f>IF(B13="CERRO","NO APLICA",IF(S13&lt;=PARAMETROS!$B$13,"SI","NO"))</f>
        <v/>
      </c>
      <c r="Z13" s="22">
        <f>IF(B13="CERRO","NO APLICA",IF(T13&lt;=PARAMETROS!$B$13,"SI","NO"))</f>
        <v/>
      </c>
    </row>
    <row r="14">
      <c r="A14" s="18" t="n">
        <v>13</v>
      </c>
      <c r="B14" s="19" t="inlineStr">
        <is>
          <t>IMPERDIBLE</t>
        </is>
      </c>
      <c r="C14" s="20" t="inlineStr"/>
      <c r="D14" s="4" t="n">
        <v>60962</v>
      </c>
      <c r="E14" s="4" t="inlineStr">
        <is>
          <t>Cava Federal</t>
        </is>
      </c>
      <c r="F14" s="4" t="inlineStr">
        <is>
          <t>Jiro MDQ SA</t>
        </is>
      </c>
      <c r="G14" s="4" t="inlineStr">
        <is>
          <t>Stella Artois</t>
        </is>
      </c>
      <c r="H14" s="4" t="inlineStr">
        <is>
          <t>NOCTURNIDAD/EVENTOS</t>
        </is>
      </c>
      <c r="I14" s="21" t="n">
        <v>45597</v>
      </c>
      <c r="J14" s="21" t="n">
        <v>46327</v>
      </c>
      <c r="K14" s="22" t="n">
        <v>24</v>
      </c>
      <c r="L14" s="14" t="inlineStr">
        <is>
          <t>Renueva;</t>
        </is>
      </c>
      <c r="M14" s="6" t="n">
        <v>10000000</v>
      </c>
      <c r="N14" s="11" t="n">
        <v>0.68</v>
      </c>
      <c r="O14" s="5" t="n">
        <v>11754066.8012789</v>
      </c>
      <c r="P14" s="6">
        <f>M14*(1+N14)</f>
        <v/>
      </c>
      <c r="Q14" s="6">
        <f>P14-O14</f>
        <v/>
      </c>
      <c r="R14" s="23">
        <f>IF(O14=0,"",P14/O14-1)</f>
        <v/>
      </c>
      <c r="S14" s="6">
        <f>IF(B14="CERRO",S13,S13+O14)</f>
        <v/>
      </c>
      <c r="T14" s="6">
        <f>IF(B14="CERRO",T13,T13+P14)</f>
        <v/>
      </c>
      <c r="U14" s="22">
        <f>IF(B14="CERRO","NO APLICA",IF(S14&lt;=PARAMETROS!$B$9,"SI","NO"))</f>
        <v/>
      </c>
      <c r="V14" s="22">
        <f>IF(B14="CERRO","NO APLICA",IF(T14&lt;=PARAMETROS!$B$9,"SI","NO"))</f>
        <v/>
      </c>
      <c r="W14" s="22">
        <f>IF(B14="CERRO","NO APLICA",IF(S14&lt;=PARAMETROS!$B$12,"SI","NO"))</f>
        <v/>
      </c>
      <c r="X14" s="22">
        <f>IF(B14="CERRO","NO APLICA",IF(T14&lt;=PARAMETROS!$B$12,"SI","NO"))</f>
        <v/>
      </c>
      <c r="Y14" s="22">
        <f>IF(B14="CERRO","NO APLICA",IF(S14&lt;=PARAMETROS!$B$13,"SI","NO"))</f>
        <v/>
      </c>
      <c r="Z14" s="22">
        <f>IF(B14="CERRO","NO APLICA",IF(T14&lt;=PARAMETROS!$B$13,"SI","NO"))</f>
        <v/>
      </c>
    </row>
    <row r="15">
      <c r="A15" s="18" t="n">
        <v>14</v>
      </c>
      <c r="B15" s="19" t="inlineStr">
        <is>
          <t>IMPERDIBLE</t>
        </is>
      </c>
      <c r="C15" s="20" t="inlineStr"/>
      <c r="D15" s="4" t="n">
        <v>8242</v>
      </c>
      <c r="E15" s="4" t="inlineStr">
        <is>
          <t>Palma Bristo Amarras</t>
        </is>
      </c>
      <c r="F15" s="4" t="inlineStr">
        <is>
          <t>Morosenlacosta</t>
        </is>
      </c>
      <c r="G15" s="4" t="inlineStr">
        <is>
          <t>Corona</t>
        </is>
      </c>
      <c r="H15" s="4" t="inlineStr">
        <is>
          <t>BALNEARIOS</t>
        </is>
      </c>
      <c r="I15" s="21" t="n">
        <v>45292</v>
      </c>
      <c r="J15" s="21" t="n">
        <v>46388</v>
      </c>
      <c r="K15" s="22" t="n">
        <v>36</v>
      </c>
      <c r="L15" s="14" t="inlineStr">
        <is>
          <t>Vence post 2026; charlar mas adelante</t>
        </is>
      </c>
      <c r="M15" s="6" t="n">
        <v>10000000</v>
      </c>
      <c r="N15" s="11" t="n">
        <v>2.13</v>
      </c>
      <c r="O15" s="5" t="n">
        <v>22430795.22751351</v>
      </c>
      <c r="P15" s="6">
        <f>M15*(1+N15)</f>
        <v/>
      </c>
      <c r="Q15" s="6">
        <f>P15-O15</f>
        <v/>
      </c>
      <c r="R15" s="23">
        <f>IF(O15=0,"",P15/O15-1)</f>
        <v/>
      </c>
      <c r="S15" s="6">
        <f>IF(B15="CERRO",S14,S14+O15)</f>
        <v/>
      </c>
      <c r="T15" s="6">
        <f>IF(B15="CERRO",T14,T14+P15)</f>
        <v/>
      </c>
      <c r="U15" s="22">
        <f>IF(B15="CERRO","NO APLICA",IF(S15&lt;=PARAMETROS!$B$9,"SI","NO"))</f>
        <v/>
      </c>
      <c r="V15" s="22">
        <f>IF(B15="CERRO","NO APLICA",IF(T15&lt;=PARAMETROS!$B$9,"SI","NO"))</f>
        <v/>
      </c>
      <c r="W15" s="22">
        <f>IF(B15="CERRO","NO APLICA",IF(S15&lt;=PARAMETROS!$B$12,"SI","NO"))</f>
        <v/>
      </c>
      <c r="X15" s="22">
        <f>IF(B15="CERRO","NO APLICA",IF(T15&lt;=PARAMETROS!$B$12,"SI","NO"))</f>
        <v/>
      </c>
      <c r="Y15" s="22">
        <f>IF(B15="CERRO","NO APLICA",IF(S15&lt;=PARAMETROS!$B$13,"SI","NO"))</f>
        <v/>
      </c>
      <c r="Z15" s="22">
        <f>IF(B15="CERRO","NO APLICA",IF(T15&lt;=PARAMETROS!$B$13,"SI","NO"))</f>
        <v/>
      </c>
    </row>
    <row r="16">
      <c r="A16" s="18" t="n">
        <v>15</v>
      </c>
      <c r="B16" s="19" t="inlineStr">
        <is>
          <t>IMPERDIBLE</t>
        </is>
      </c>
      <c r="C16" s="20" t="inlineStr"/>
      <c r="D16" s="4" t="n">
        <v>60931</v>
      </c>
      <c r="E16" s="4" t="inlineStr">
        <is>
          <t>Mambrú</t>
        </is>
      </c>
      <c r="F16" s="4" t="inlineStr">
        <is>
          <t>BALL LLATINAS FERNANDO JORGE</t>
        </is>
      </c>
      <c r="G16" s="4" t="inlineStr">
        <is>
          <t>Quilmes</t>
        </is>
      </c>
      <c r="H16" s="4" t="inlineStr">
        <is>
          <t>GASTRONOMIA</t>
        </is>
      </c>
      <c r="I16" s="21" t="n">
        <v>45658</v>
      </c>
      <c r="J16" s="21" t="n">
        <v>46388</v>
      </c>
      <c r="K16" s="22" t="n">
        <v>24</v>
      </c>
      <c r="L16" s="14" t="inlineStr">
        <is>
          <t>Vence post 2026; charlar mas adelante</t>
        </is>
      </c>
      <c r="M16" s="6" t="n">
        <v>8000000</v>
      </c>
      <c r="N16" s="11" t="n">
        <v>0.68</v>
      </c>
      <c r="O16" s="5" t="n">
        <v>9091537.506833147</v>
      </c>
      <c r="P16" s="6">
        <f>M16*(1+N16)</f>
        <v/>
      </c>
      <c r="Q16" s="6">
        <f>P16-O16</f>
        <v/>
      </c>
      <c r="R16" s="23">
        <f>IF(O16=0,"",P16/O16-1)</f>
        <v/>
      </c>
      <c r="S16" s="6">
        <f>IF(B16="CERRO",S15,S15+O16)</f>
        <v/>
      </c>
      <c r="T16" s="6">
        <f>IF(B16="CERRO",T15,T15+P16)</f>
        <v/>
      </c>
      <c r="U16" s="22">
        <f>IF(B16="CERRO","NO APLICA",IF(S16&lt;=PARAMETROS!$B$9,"SI","NO"))</f>
        <v/>
      </c>
      <c r="V16" s="22">
        <f>IF(B16="CERRO","NO APLICA",IF(T16&lt;=PARAMETROS!$B$9,"SI","NO"))</f>
        <v/>
      </c>
      <c r="W16" s="22">
        <f>IF(B16="CERRO","NO APLICA",IF(S16&lt;=PARAMETROS!$B$12,"SI","NO"))</f>
        <v/>
      </c>
      <c r="X16" s="22">
        <f>IF(B16="CERRO","NO APLICA",IF(T16&lt;=PARAMETROS!$B$12,"SI","NO"))</f>
        <v/>
      </c>
      <c r="Y16" s="22">
        <f>IF(B16="CERRO","NO APLICA",IF(S16&lt;=PARAMETROS!$B$13,"SI","NO"))</f>
        <v/>
      </c>
      <c r="Z16" s="22">
        <f>IF(B16="CERRO","NO APLICA",IF(T16&lt;=PARAMETROS!$B$13,"SI","NO"))</f>
        <v/>
      </c>
    </row>
    <row r="17">
      <c r="A17" s="18" t="n">
        <v>16</v>
      </c>
      <c r="B17" s="19" t="inlineStr">
        <is>
          <t>IMPERDIBLE</t>
        </is>
      </c>
      <c r="C17" s="20" t="inlineStr"/>
      <c r="D17" s="4" t="n">
        <v>4967</v>
      </c>
      <c r="E17" s="4" t="inlineStr">
        <is>
          <t>Mattone</t>
        </is>
      </c>
      <c r="F17" s="4" t="inlineStr">
        <is>
          <t>Bunge y Mar SA</t>
        </is>
      </c>
      <c r="G17" s="4" t="inlineStr">
        <is>
          <t>Stella Artois</t>
        </is>
      </c>
      <c r="H17" s="4" t="inlineStr">
        <is>
          <t>GASTRONOMIA</t>
        </is>
      </c>
      <c r="I17" s="21" t="n">
        <v>45658</v>
      </c>
      <c r="J17" s="21" t="n">
        <v>46388</v>
      </c>
      <c r="K17" s="22" t="n">
        <v>24</v>
      </c>
      <c r="L17" s="14" t="inlineStr">
        <is>
          <t>Vence post 2026; charlar mas adelante</t>
        </is>
      </c>
      <c r="M17" s="6" t="n">
        <v>6000000</v>
      </c>
      <c r="N17" s="11" t="n">
        <v>0.68</v>
      </c>
      <c r="O17" s="5" t="n">
        <v>6818653.13012486</v>
      </c>
      <c r="P17" s="6">
        <f>M17*(1+N17)</f>
        <v/>
      </c>
      <c r="Q17" s="6">
        <f>P17-O17</f>
        <v/>
      </c>
      <c r="R17" s="23">
        <f>IF(O17=0,"",P17/O17-1)</f>
        <v/>
      </c>
      <c r="S17" s="6">
        <f>IF(B17="CERRO",S16,S16+O17)</f>
        <v/>
      </c>
      <c r="T17" s="6">
        <f>IF(B17="CERRO",T16,T16+P17)</f>
        <v/>
      </c>
      <c r="U17" s="22">
        <f>IF(B17="CERRO","NO APLICA",IF(S17&lt;=PARAMETROS!$B$9,"SI","NO"))</f>
        <v/>
      </c>
      <c r="V17" s="22">
        <f>IF(B17="CERRO","NO APLICA",IF(T17&lt;=PARAMETROS!$B$9,"SI","NO"))</f>
        <v/>
      </c>
      <c r="W17" s="22">
        <f>IF(B17="CERRO","NO APLICA",IF(S17&lt;=PARAMETROS!$B$12,"SI","NO"))</f>
        <v/>
      </c>
      <c r="X17" s="22">
        <f>IF(B17="CERRO","NO APLICA",IF(T17&lt;=PARAMETROS!$B$12,"SI","NO"))</f>
        <v/>
      </c>
      <c r="Y17" s="22">
        <f>IF(B17="CERRO","NO APLICA",IF(S17&lt;=PARAMETROS!$B$13,"SI","NO"))</f>
        <v/>
      </c>
      <c r="Z17" s="22">
        <f>IF(B17="CERRO","NO APLICA",IF(T17&lt;=PARAMETROS!$B$13,"SI","NO"))</f>
        <v/>
      </c>
    </row>
    <row r="18">
      <c r="A18" s="18" t="n">
        <v>17</v>
      </c>
      <c r="B18" s="19" t="inlineStr">
        <is>
          <t>IMPERDIBLE</t>
        </is>
      </c>
      <c r="C18" s="20" t="inlineStr"/>
      <c r="D18" s="4" t="n">
        <v>60753</v>
      </c>
      <c r="E18" s="4" t="inlineStr">
        <is>
          <t>DOS 55</t>
        </is>
      </c>
      <c r="F18" s="4" t="inlineStr">
        <is>
          <t>Huergo Roberto Adrián</t>
        </is>
      </c>
      <c r="G18" s="4" t="inlineStr">
        <is>
          <t>Stella Artois</t>
        </is>
      </c>
      <c r="H18" s="4" t="inlineStr">
        <is>
          <t>GASTRONOMIA</t>
        </is>
      </c>
      <c r="I18" s="21" t="n">
        <v>45778</v>
      </c>
      <c r="J18" s="21" t="n">
        <v>46143</v>
      </c>
      <c r="K18" s="22" t="n">
        <v>12</v>
      </c>
      <c r="L18" s="14" t="inlineStr">
        <is>
          <t>Renueva; importante para visitas</t>
        </is>
      </c>
      <c r="M18" s="6" t="n">
        <v>5000000</v>
      </c>
      <c r="N18" s="11" t="n">
        <v>0.25</v>
      </c>
      <c r="O18" s="5" t="n">
        <v>5243042.514035173</v>
      </c>
      <c r="P18" s="6">
        <f>M18*(1+N18)</f>
        <v/>
      </c>
      <c r="Q18" s="6">
        <f>P18-O18</f>
        <v/>
      </c>
      <c r="R18" s="23">
        <f>IF(O18=0,"",P18/O18-1)</f>
        <v/>
      </c>
      <c r="S18" s="6">
        <f>IF(B18="CERRO",S17,S17+O18)</f>
        <v/>
      </c>
      <c r="T18" s="6">
        <f>IF(B18="CERRO",T17,T17+P18)</f>
        <v/>
      </c>
      <c r="U18" s="22">
        <f>IF(B18="CERRO","NO APLICA",IF(S18&lt;=PARAMETROS!$B$9,"SI","NO"))</f>
        <v/>
      </c>
      <c r="V18" s="22">
        <f>IF(B18="CERRO","NO APLICA",IF(T18&lt;=PARAMETROS!$B$9,"SI","NO"))</f>
        <v/>
      </c>
      <c r="W18" s="22">
        <f>IF(B18="CERRO","NO APLICA",IF(S18&lt;=PARAMETROS!$B$12,"SI","NO"))</f>
        <v/>
      </c>
      <c r="X18" s="22">
        <f>IF(B18="CERRO","NO APLICA",IF(T18&lt;=PARAMETROS!$B$12,"SI","NO"))</f>
        <v/>
      </c>
      <c r="Y18" s="22">
        <f>IF(B18="CERRO","NO APLICA",IF(S18&lt;=PARAMETROS!$B$13,"SI","NO"))</f>
        <v/>
      </c>
      <c r="Z18" s="22">
        <f>IF(B18="CERRO","NO APLICA",IF(T18&lt;=PARAMETROS!$B$13,"SI","NO"))</f>
        <v/>
      </c>
    </row>
    <row r="19">
      <c r="A19" s="18" t="n">
        <v>18</v>
      </c>
      <c r="B19" s="19" t="inlineStr">
        <is>
          <t>IMPERDIBLE</t>
        </is>
      </c>
      <c r="C19" s="20" t="inlineStr"/>
      <c r="D19" s="4" t="n">
        <v>60356</v>
      </c>
      <c r="E19" s="4" t="inlineStr">
        <is>
          <t>SANTA</t>
        </is>
      </c>
      <c r="F19" s="4" t="inlineStr">
        <is>
          <t>Praisolo SA</t>
        </is>
      </c>
      <c r="G19" s="4" t="inlineStr">
        <is>
          <t>Stella Artois</t>
        </is>
      </c>
      <c r="H19" s="4" t="inlineStr">
        <is>
          <t>BALNEARIOS</t>
        </is>
      </c>
      <c r="I19" s="21" t="n">
        <v>45292</v>
      </c>
      <c r="J19" s="21" t="n">
        <v>46388</v>
      </c>
      <c r="K19" s="22" t="n">
        <v>36</v>
      </c>
      <c r="L19" s="14" t="inlineStr">
        <is>
          <t>Vence post 2026; charlar mas adelante</t>
        </is>
      </c>
      <c r="M19" s="6" t="n">
        <v>5000000</v>
      </c>
      <c r="N19" s="11" t="n">
        <v>2.13</v>
      </c>
      <c r="O19" s="5" t="n">
        <v>11215397.61375676</v>
      </c>
      <c r="P19" s="6">
        <f>M19*(1+N19)</f>
        <v/>
      </c>
      <c r="Q19" s="6">
        <f>P19-O19</f>
        <v/>
      </c>
      <c r="R19" s="23">
        <f>IF(O19=0,"",P19/O19-1)</f>
        <v/>
      </c>
      <c r="S19" s="6">
        <f>IF(B19="CERRO",S18,S18+O19)</f>
        <v/>
      </c>
      <c r="T19" s="6">
        <f>IF(B19="CERRO",T18,T18+P19)</f>
        <v/>
      </c>
      <c r="U19" s="22">
        <f>IF(B19="CERRO","NO APLICA",IF(S19&lt;=PARAMETROS!$B$9,"SI","NO"))</f>
        <v/>
      </c>
      <c r="V19" s="22">
        <f>IF(B19="CERRO","NO APLICA",IF(T19&lt;=PARAMETROS!$B$9,"SI","NO"))</f>
        <v/>
      </c>
      <c r="W19" s="22">
        <f>IF(B19="CERRO","NO APLICA",IF(S19&lt;=PARAMETROS!$B$12,"SI","NO"))</f>
        <v/>
      </c>
      <c r="X19" s="22">
        <f>IF(B19="CERRO","NO APLICA",IF(T19&lt;=PARAMETROS!$B$12,"SI","NO"))</f>
        <v/>
      </c>
      <c r="Y19" s="22">
        <f>IF(B19="CERRO","NO APLICA",IF(S19&lt;=PARAMETROS!$B$13,"SI","NO"))</f>
        <v/>
      </c>
      <c r="Z19" s="22">
        <f>IF(B19="CERRO","NO APLICA",IF(T19&lt;=PARAMETROS!$B$13,"SI","NO"))</f>
        <v/>
      </c>
    </row>
    <row r="20">
      <c r="A20" s="18" t="n">
        <v>19</v>
      </c>
      <c r="B20" s="19" t="inlineStr">
        <is>
          <t>IMPERDIBLE</t>
        </is>
      </c>
      <c r="C20" s="20" t="inlineStr"/>
      <c r="D20" s="4" t="n">
        <v>8545</v>
      </c>
      <c r="E20" s="4" t="inlineStr">
        <is>
          <t>Hondo</t>
        </is>
      </c>
      <c r="F20" s="4" t="inlineStr">
        <is>
          <t>De Jesús Juan Aramis</t>
        </is>
      </c>
      <c r="G20" s="4" t="inlineStr">
        <is>
          <t>Stella Artois</t>
        </is>
      </c>
      <c r="H20" s="4" t="inlineStr">
        <is>
          <t>GASTRONOMIA</t>
        </is>
      </c>
      <c r="I20" s="21" t="n">
        <v>45627</v>
      </c>
      <c r="J20" s="21" t="n">
        <v>46357</v>
      </c>
      <c r="K20" s="22" t="n">
        <v>24</v>
      </c>
      <c r="L20" s="14" t="inlineStr">
        <is>
          <t>Pendiente de revisar con región</t>
        </is>
      </c>
      <c r="M20" s="6" t="n">
        <v>4000000</v>
      </c>
      <c r="N20" s="11" t="n">
        <v>0.68</v>
      </c>
      <c r="O20" s="5" t="n">
        <v>4596292.198792404</v>
      </c>
      <c r="P20" s="6">
        <f>M20*(1+N20)</f>
        <v/>
      </c>
      <c r="Q20" s="6">
        <f>P20-O20</f>
        <v/>
      </c>
      <c r="R20" s="23">
        <f>IF(O20=0,"",P20/O20-1)</f>
        <v/>
      </c>
      <c r="S20" s="6">
        <f>IF(B20="CERRO",S19,S19+O20)</f>
        <v/>
      </c>
      <c r="T20" s="6">
        <f>IF(B20="CERRO",T19,T19+P20)</f>
        <v/>
      </c>
      <c r="U20" s="22">
        <f>IF(B20="CERRO","NO APLICA",IF(S20&lt;=PARAMETROS!$B$9,"SI","NO"))</f>
        <v/>
      </c>
      <c r="V20" s="22">
        <f>IF(B20="CERRO","NO APLICA",IF(T20&lt;=PARAMETROS!$B$9,"SI","NO"))</f>
        <v/>
      </c>
      <c r="W20" s="22">
        <f>IF(B20="CERRO","NO APLICA",IF(S20&lt;=PARAMETROS!$B$12,"SI","NO"))</f>
        <v/>
      </c>
      <c r="X20" s="22">
        <f>IF(B20="CERRO","NO APLICA",IF(T20&lt;=PARAMETROS!$B$12,"SI","NO"))</f>
        <v/>
      </c>
      <c r="Y20" s="22">
        <f>IF(B20="CERRO","NO APLICA",IF(S20&lt;=PARAMETROS!$B$13,"SI","NO"))</f>
        <v/>
      </c>
      <c r="Z20" s="22">
        <f>IF(B20="CERRO","NO APLICA",IF(T20&lt;=PARAMETROS!$B$13,"SI","NO"))</f>
        <v/>
      </c>
    </row>
    <row r="21">
      <c r="A21" s="18" t="n">
        <v>20</v>
      </c>
      <c r="B21" s="19" t="inlineStr">
        <is>
          <t>IMPERDIBLE</t>
        </is>
      </c>
      <c r="C21" s="24" t="inlineStr">
        <is>
          <t>Comentario dice "No renueva; cerro" pero tier=IMPERDIBLE. Contradiccion a resolver.</t>
        </is>
      </c>
      <c r="D21" s="4" t="inlineStr">
        <is>
          <t>CERRO</t>
        </is>
      </c>
      <c r="E21" s="4" t="inlineStr">
        <is>
          <t>Negroni Helena</t>
        </is>
      </c>
      <c r="F21" s="4" t="inlineStr">
        <is>
          <t xml:space="preserve"> LOJAPAZ PINAMAR S.A.</t>
        </is>
      </c>
      <c r="G21" s="4" t="inlineStr">
        <is>
          <t>Stella Artois</t>
        </is>
      </c>
      <c r="H21" s="4" t="inlineStr">
        <is>
          <t>BALNEARIOS</t>
        </is>
      </c>
      <c r="I21" s="21" t="n">
        <v>45597</v>
      </c>
      <c r="J21" s="21" t="n">
        <v>46327</v>
      </c>
      <c r="K21" s="22" t="n">
        <v>24</v>
      </c>
      <c r="L21" s="14" t="inlineStr">
        <is>
          <t>No renueva; cerro</t>
        </is>
      </c>
      <c r="M21" s="6" t="n">
        <v>4000000</v>
      </c>
      <c r="N21" s="11" t="n">
        <v>0.68</v>
      </c>
      <c r="O21" s="5" t="n">
        <v>4701626.720511558</v>
      </c>
      <c r="P21" s="6">
        <f>M21*(1+N21)</f>
        <v/>
      </c>
      <c r="Q21" s="6">
        <f>P21-O21</f>
        <v/>
      </c>
      <c r="R21" s="23">
        <f>IF(O21=0,"",P21/O21-1)</f>
        <v/>
      </c>
      <c r="S21" s="6">
        <f>IF(B21="CERRO",S20,S20+O21)</f>
        <v/>
      </c>
      <c r="T21" s="6">
        <f>IF(B21="CERRO",T20,T20+P21)</f>
        <v/>
      </c>
      <c r="U21" s="22">
        <f>IF(B21="CERRO","NO APLICA",IF(S21&lt;=PARAMETROS!$B$9,"SI","NO"))</f>
        <v/>
      </c>
      <c r="V21" s="22">
        <f>IF(B21="CERRO","NO APLICA",IF(T21&lt;=PARAMETROS!$B$9,"SI","NO"))</f>
        <v/>
      </c>
      <c r="W21" s="22">
        <f>IF(B21="CERRO","NO APLICA",IF(S21&lt;=PARAMETROS!$B$12,"SI","NO"))</f>
        <v/>
      </c>
      <c r="X21" s="22">
        <f>IF(B21="CERRO","NO APLICA",IF(T21&lt;=PARAMETROS!$B$12,"SI","NO"))</f>
        <v/>
      </c>
      <c r="Y21" s="22">
        <f>IF(B21="CERRO","NO APLICA",IF(S21&lt;=PARAMETROS!$B$13,"SI","NO"))</f>
        <v/>
      </c>
      <c r="Z21" s="22">
        <f>IF(B21="CERRO","NO APLICA",IF(T21&lt;=PARAMETROS!$B$13,"SI","NO"))</f>
        <v/>
      </c>
    </row>
    <row r="22">
      <c r="A22" s="18" t="n">
        <v>21</v>
      </c>
      <c r="B22" s="19" t="inlineStr">
        <is>
          <t>IMPERDIBLE</t>
        </is>
      </c>
      <c r="C22" s="20" t="inlineStr"/>
      <c r="D22" s="4" t="n">
        <v>5978</v>
      </c>
      <c r="E22" s="4" t="inlineStr">
        <is>
          <t>Cooperativa de Pesca</t>
        </is>
      </c>
      <c r="F22" s="4" t="inlineStr">
        <is>
          <t>Cooperativa de trabajo artesanal pescadores de Pinamar ltda</t>
        </is>
      </c>
      <c r="G22" s="4" t="inlineStr">
        <is>
          <t>Quilmes</t>
        </is>
      </c>
      <c r="H22" s="4" t="inlineStr">
        <is>
          <t>GASTRONOMIA</t>
        </is>
      </c>
      <c r="I22" s="21" t="n">
        <v>45658</v>
      </c>
      <c r="J22" s="21" t="n">
        <v>46388</v>
      </c>
      <c r="K22" s="22" t="n">
        <v>24</v>
      </c>
      <c r="L22" s="14" t="inlineStr">
        <is>
          <t>Vence post 2026; charlar mas adelante</t>
        </is>
      </c>
      <c r="M22" s="6" t="n">
        <v>3500000</v>
      </c>
      <c r="N22" s="11" t="n">
        <v>0.68</v>
      </c>
      <c r="O22" s="5" t="n">
        <v>4679467.834399414</v>
      </c>
      <c r="P22" s="6">
        <f>M22*(1+N22)</f>
        <v/>
      </c>
      <c r="Q22" s="6">
        <f>P22-O22</f>
        <v/>
      </c>
      <c r="R22" s="23">
        <f>IF(O22=0,"",P22/O22-1)</f>
        <v/>
      </c>
      <c r="S22" s="6">
        <f>IF(B22="CERRO",S21,S21+O22)</f>
        <v/>
      </c>
      <c r="T22" s="6">
        <f>IF(B22="CERRO",T21,T21+P22)</f>
        <v/>
      </c>
      <c r="U22" s="22">
        <f>IF(B22="CERRO","NO APLICA",IF(S22&lt;=PARAMETROS!$B$9,"SI","NO"))</f>
        <v/>
      </c>
      <c r="V22" s="22">
        <f>IF(B22="CERRO","NO APLICA",IF(T22&lt;=PARAMETROS!$B$9,"SI","NO"))</f>
        <v/>
      </c>
      <c r="W22" s="22">
        <f>IF(B22="CERRO","NO APLICA",IF(S22&lt;=PARAMETROS!$B$12,"SI","NO"))</f>
        <v/>
      </c>
      <c r="X22" s="22">
        <f>IF(B22="CERRO","NO APLICA",IF(T22&lt;=PARAMETROS!$B$12,"SI","NO"))</f>
        <v/>
      </c>
      <c r="Y22" s="22">
        <f>IF(B22="CERRO","NO APLICA",IF(S22&lt;=PARAMETROS!$B$13,"SI","NO"))</f>
        <v/>
      </c>
      <c r="Z22" s="22">
        <f>IF(B22="CERRO","NO APLICA",IF(T22&lt;=PARAMETROS!$B$13,"SI","NO"))</f>
        <v/>
      </c>
    </row>
    <row r="23">
      <c r="A23" s="18" t="n">
        <v>22</v>
      </c>
      <c r="B23" s="19" t="inlineStr">
        <is>
          <t>IMPERDIBLE</t>
        </is>
      </c>
      <c r="C23" s="20" t="inlineStr"/>
      <c r="D23" s="4" t="n">
        <v>61033</v>
      </c>
      <c r="E23" s="4" t="inlineStr">
        <is>
          <t>NEREA</t>
        </is>
      </c>
      <c r="F23" s="4" t="inlineStr">
        <is>
          <t>SHAW AND BEACH S.A.</t>
        </is>
      </c>
      <c r="G23" s="4" t="inlineStr">
        <is>
          <t>Stella Artois</t>
        </is>
      </c>
      <c r="H23" s="4" t="inlineStr">
        <is>
          <t>GASTRONOMIA</t>
        </is>
      </c>
      <c r="I23" s="21" t="n">
        <v>45627</v>
      </c>
      <c r="J23" s="21" t="n">
        <v>46357</v>
      </c>
      <c r="K23" s="22" t="n">
        <v>24</v>
      </c>
      <c r="L23" s="14" t="inlineStr">
        <is>
          <t>Pendiente de revisar con región</t>
        </is>
      </c>
      <c r="M23" s="6" t="n">
        <v>1700000</v>
      </c>
      <c r="N23" s="11" t="n">
        <v>0.68</v>
      </c>
      <c r="O23" s="5" t="n">
        <v>1953424.184486772</v>
      </c>
      <c r="P23" s="6">
        <f>M23*(1+N23)</f>
        <v/>
      </c>
      <c r="Q23" s="6">
        <f>P23-O23</f>
        <v/>
      </c>
      <c r="R23" s="23">
        <f>IF(O23=0,"",P23/O23-1)</f>
        <v/>
      </c>
      <c r="S23" s="6">
        <f>IF(B23="CERRO",S22,S22+O23)</f>
        <v/>
      </c>
      <c r="T23" s="6">
        <f>IF(B23="CERRO",T22,T22+P23)</f>
        <v/>
      </c>
      <c r="U23" s="22">
        <f>IF(B23="CERRO","NO APLICA",IF(S23&lt;=PARAMETROS!$B$9,"SI","NO"))</f>
        <v/>
      </c>
      <c r="V23" s="22">
        <f>IF(B23="CERRO","NO APLICA",IF(T23&lt;=PARAMETROS!$B$9,"SI","NO"))</f>
        <v/>
      </c>
      <c r="W23" s="22">
        <f>IF(B23="CERRO","NO APLICA",IF(S23&lt;=PARAMETROS!$B$12,"SI","NO"))</f>
        <v/>
      </c>
      <c r="X23" s="22">
        <f>IF(B23="CERRO","NO APLICA",IF(T23&lt;=PARAMETROS!$B$12,"SI","NO"))</f>
        <v/>
      </c>
      <c r="Y23" s="22">
        <f>IF(B23="CERRO","NO APLICA",IF(S23&lt;=PARAMETROS!$B$13,"SI","NO"))</f>
        <v/>
      </c>
      <c r="Z23" s="22">
        <f>IF(B23="CERRO","NO APLICA",IF(T23&lt;=PARAMETROS!$B$13,"SI","NO"))</f>
        <v/>
      </c>
    </row>
    <row r="24">
      <c r="A24" s="18" t="n">
        <v>23</v>
      </c>
      <c r="B24" s="25" t="inlineStr">
        <is>
          <t>DISCUTIBLE</t>
        </is>
      </c>
      <c r="C24" s="20" t="inlineStr"/>
      <c r="D24" s="4" t="n">
        <v>62691</v>
      </c>
      <c r="E24" s="4" t="inlineStr">
        <is>
          <t>Lo de Fran</t>
        </is>
      </c>
      <c r="F24" s="4" t="inlineStr">
        <is>
          <t>SALITRE MARINO S. A.</t>
        </is>
      </c>
      <c r="G24" s="4" t="inlineStr">
        <is>
          <t>Stella Artois</t>
        </is>
      </c>
      <c r="H24" s="4" t="inlineStr">
        <is>
          <t>GASTRONOMIA</t>
        </is>
      </c>
      <c r="I24" s="21" t="n">
        <v>45536</v>
      </c>
      <c r="J24" s="21" t="n">
        <v>46266</v>
      </c>
      <c r="K24" s="22" t="n">
        <v>24</v>
      </c>
      <c r="L24" s="14" t="inlineStr">
        <is>
          <t>Renueva;</t>
        </is>
      </c>
      <c r="M24" s="6" t="n">
        <v>21000000</v>
      </c>
      <c r="N24" s="11" t="n">
        <v>0.68</v>
      </c>
      <c r="O24" s="5" t="n">
        <v>25827863.39938976</v>
      </c>
      <c r="P24" s="6">
        <f>M24*(1+N24)</f>
        <v/>
      </c>
      <c r="Q24" s="6">
        <f>P24-O24</f>
        <v/>
      </c>
      <c r="R24" s="23">
        <f>IF(O24=0,"",P24/O24-1)</f>
        <v/>
      </c>
      <c r="S24" s="6">
        <f>IF(B24="CERRO",S23,S23+O24)</f>
        <v/>
      </c>
      <c r="T24" s="6">
        <f>IF(B24="CERRO",T23,T23+P24)</f>
        <v/>
      </c>
      <c r="U24" s="22">
        <f>IF(B24="CERRO","NO APLICA",IF(S24&lt;=PARAMETROS!$B$9,"SI","NO"))</f>
        <v/>
      </c>
      <c r="V24" s="22">
        <f>IF(B24="CERRO","NO APLICA",IF(T24&lt;=PARAMETROS!$B$9,"SI","NO"))</f>
        <v/>
      </c>
      <c r="W24" s="22">
        <f>IF(B24="CERRO","NO APLICA",IF(S24&lt;=PARAMETROS!$B$12,"SI","NO"))</f>
        <v/>
      </c>
      <c r="X24" s="22">
        <f>IF(B24="CERRO","NO APLICA",IF(T24&lt;=PARAMETROS!$B$12,"SI","NO"))</f>
        <v/>
      </c>
      <c r="Y24" s="22">
        <f>IF(B24="CERRO","NO APLICA",IF(S24&lt;=PARAMETROS!$B$13,"SI","NO"))</f>
        <v/>
      </c>
      <c r="Z24" s="22">
        <f>IF(B24="CERRO","NO APLICA",IF(T24&lt;=PARAMETROS!$B$13,"SI","NO"))</f>
        <v/>
      </c>
    </row>
    <row r="25">
      <c r="A25" s="18" t="n">
        <v>24</v>
      </c>
      <c r="B25" s="25" t="inlineStr">
        <is>
          <t>DISCUTIBLE</t>
        </is>
      </c>
      <c r="C25" s="20" t="inlineStr"/>
      <c r="D25" s="4" t="n">
        <v>0</v>
      </c>
      <c r="E25" s="4" t="inlineStr">
        <is>
          <t>mama Concert</t>
        </is>
      </c>
      <c r="F25" s="4" t="inlineStr">
        <is>
          <t>Pinamar S.A</t>
        </is>
      </c>
      <c r="G25" s="4" t="inlineStr">
        <is>
          <t>Corona</t>
        </is>
      </c>
      <c r="H25" s="4" t="inlineStr">
        <is>
          <t>BALNEARIOS</t>
        </is>
      </c>
      <c r="I25" s="21" t="n">
        <v>45658</v>
      </c>
      <c r="J25" s="21" t="n">
        <v>46388</v>
      </c>
      <c r="K25" s="22" t="n">
        <v>24</v>
      </c>
      <c r="L25" s="14" t="inlineStr">
        <is>
          <t>Vence post 2026; charlar mas adelante</t>
        </is>
      </c>
      <c r="M25" s="6" t="n">
        <v>15000000</v>
      </c>
      <c r="N25" s="11" t="n">
        <v>0.68</v>
      </c>
      <c r="O25" s="5" t="n">
        <v>68186531.30124861</v>
      </c>
      <c r="P25" s="6">
        <f>M25*(1+N25)</f>
        <v/>
      </c>
      <c r="Q25" s="6">
        <f>P25-O25</f>
        <v/>
      </c>
      <c r="R25" s="23">
        <f>IF(O25=0,"",P25/O25-1)</f>
        <v/>
      </c>
      <c r="S25" s="6">
        <f>IF(B25="CERRO",S24,S24+O25)</f>
        <v/>
      </c>
      <c r="T25" s="6">
        <f>IF(B25="CERRO",T24,T24+P25)</f>
        <v/>
      </c>
      <c r="U25" s="22">
        <f>IF(B25="CERRO","NO APLICA",IF(S25&lt;=PARAMETROS!$B$9,"SI","NO"))</f>
        <v/>
      </c>
      <c r="V25" s="22">
        <f>IF(B25="CERRO","NO APLICA",IF(T25&lt;=PARAMETROS!$B$9,"SI","NO"))</f>
        <v/>
      </c>
      <c r="W25" s="22">
        <f>IF(B25="CERRO","NO APLICA",IF(S25&lt;=PARAMETROS!$B$12,"SI","NO"))</f>
        <v/>
      </c>
      <c r="X25" s="22">
        <f>IF(B25="CERRO","NO APLICA",IF(T25&lt;=PARAMETROS!$B$12,"SI","NO"))</f>
        <v/>
      </c>
      <c r="Y25" s="22">
        <f>IF(B25="CERRO","NO APLICA",IF(S25&lt;=PARAMETROS!$B$13,"SI","NO"))</f>
        <v/>
      </c>
      <c r="Z25" s="22">
        <f>IF(B25="CERRO","NO APLICA",IF(T25&lt;=PARAMETROS!$B$13,"SI","NO"))</f>
        <v/>
      </c>
    </row>
    <row r="26">
      <c r="A26" s="18" t="n">
        <v>25</v>
      </c>
      <c r="B26" s="25" t="inlineStr">
        <is>
          <t>DISCUTIBLE</t>
        </is>
      </c>
      <c r="C26" s="20" t="inlineStr"/>
      <c r="D26" s="4" t="n">
        <v>4822</v>
      </c>
      <c r="E26" s="4" t="inlineStr">
        <is>
          <t>Mirador Tandil</t>
        </is>
      </c>
      <c r="F26" s="4" t="inlineStr">
        <is>
          <t>GASTRO LLE TANDIL S.A.S</t>
        </is>
      </c>
      <c r="G26" s="4" t="inlineStr">
        <is>
          <t>Patagonia</t>
        </is>
      </c>
      <c r="H26" s="4" t="inlineStr">
        <is>
          <t>GASTRONOMIA</t>
        </is>
      </c>
      <c r="I26" s="21" t="n">
        <v>45658</v>
      </c>
      <c r="J26" s="21" t="n">
        <v>46388</v>
      </c>
      <c r="K26" s="22" t="n">
        <v>24</v>
      </c>
      <c r="L26" s="14" t="inlineStr">
        <is>
          <t>Vence post 2026; charlar mas adelante</t>
        </is>
      </c>
      <c r="M26" s="6" t="n">
        <v>15000000</v>
      </c>
      <c r="N26" s="11" t="n">
        <v>0.68</v>
      </c>
      <c r="O26" s="5" t="n">
        <v>17046632.82531215</v>
      </c>
      <c r="P26" s="6">
        <f>M26*(1+N26)</f>
        <v/>
      </c>
      <c r="Q26" s="6">
        <f>P26-O26</f>
        <v/>
      </c>
      <c r="R26" s="23">
        <f>IF(O26=0,"",P26/O26-1)</f>
        <v/>
      </c>
      <c r="S26" s="6">
        <f>IF(B26="CERRO",S25,S25+O26)</f>
        <v/>
      </c>
      <c r="T26" s="6">
        <f>IF(B26="CERRO",T25,T25+P26)</f>
        <v/>
      </c>
      <c r="U26" s="22">
        <f>IF(B26="CERRO","NO APLICA",IF(S26&lt;=PARAMETROS!$B$9,"SI","NO"))</f>
        <v/>
      </c>
      <c r="V26" s="22">
        <f>IF(B26="CERRO","NO APLICA",IF(T26&lt;=PARAMETROS!$B$9,"SI","NO"))</f>
        <v/>
      </c>
      <c r="W26" s="22">
        <f>IF(B26="CERRO","NO APLICA",IF(S26&lt;=PARAMETROS!$B$12,"SI","NO"))</f>
        <v/>
      </c>
      <c r="X26" s="22">
        <f>IF(B26="CERRO","NO APLICA",IF(T26&lt;=PARAMETROS!$B$12,"SI","NO"))</f>
        <v/>
      </c>
      <c r="Y26" s="22">
        <f>IF(B26="CERRO","NO APLICA",IF(S26&lt;=PARAMETROS!$B$13,"SI","NO"))</f>
        <v/>
      </c>
      <c r="Z26" s="22">
        <f>IF(B26="CERRO","NO APLICA",IF(T26&lt;=PARAMETROS!$B$13,"SI","NO"))</f>
        <v/>
      </c>
    </row>
    <row r="27">
      <c r="A27" s="18" t="n">
        <v>26</v>
      </c>
      <c r="B27" s="25" t="inlineStr">
        <is>
          <t>DISCUTIBLE</t>
        </is>
      </c>
      <c r="C27" s="20" t="inlineStr"/>
      <c r="D27" s="4" t="n">
        <v>60832</v>
      </c>
      <c r="E27" s="4" t="inlineStr">
        <is>
          <t>Pontevedra/Di Mero/Membrillo/Brasa</t>
        </is>
      </c>
      <c r="F27" s="4" t="inlineStr">
        <is>
          <t>PONTEBRAP S. A.</t>
        </is>
      </c>
      <c r="G27" s="4" t="inlineStr">
        <is>
          <t>Stella Artois</t>
        </is>
      </c>
      <c r="H27" s="4" t="inlineStr">
        <is>
          <t>GASTRONOMIA</t>
        </is>
      </c>
      <c r="I27" s="21" t="n">
        <v>45658</v>
      </c>
      <c r="J27" s="21" t="n">
        <v>46388</v>
      </c>
      <c r="K27" s="22" t="n">
        <v>24</v>
      </c>
      <c r="L27" s="14" t="inlineStr">
        <is>
          <t>Vence post 2026; charlar mas adelante</t>
        </is>
      </c>
      <c r="M27" s="6" t="n">
        <v>10000000</v>
      </c>
      <c r="N27" s="11" t="n">
        <v>0.68</v>
      </c>
      <c r="O27" s="5" t="n">
        <v>11364421.88354143</v>
      </c>
      <c r="P27" s="6">
        <f>M27*(1+N27)</f>
        <v/>
      </c>
      <c r="Q27" s="6">
        <f>P27-O27</f>
        <v/>
      </c>
      <c r="R27" s="23">
        <f>IF(O27=0,"",P27/O27-1)</f>
        <v/>
      </c>
      <c r="S27" s="6">
        <f>IF(B27="CERRO",S26,S26+O27)</f>
        <v/>
      </c>
      <c r="T27" s="6">
        <f>IF(B27="CERRO",T26,T26+P27)</f>
        <v/>
      </c>
      <c r="U27" s="22">
        <f>IF(B27="CERRO","NO APLICA",IF(S27&lt;=PARAMETROS!$B$9,"SI","NO"))</f>
        <v/>
      </c>
      <c r="V27" s="22">
        <f>IF(B27="CERRO","NO APLICA",IF(T27&lt;=PARAMETROS!$B$9,"SI","NO"))</f>
        <v/>
      </c>
      <c r="W27" s="22">
        <f>IF(B27="CERRO","NO APLICA",IF(S27&lt;=PARAMETROS!$B$12,"SI","NO"))</f>
        <v/>
      </c>
      <c r="X27" s="22">
        <f>IF(B27="CERRO","NO APLICA",IF(T27&lt;=PARAMETROS!$B$12,"SI","NO"))</f>
        <v/>
      </c>
      <c r="Y27" s="22">
        <f>IF(B27="CERRO","NO APLICA",IF(S27&lt;=PARAMETROS!$B$13,"SI","NO"))</f>
        <v/>
      </c>
      <c r="Z27" s="22">
        <f>IF(B27="CERRO","NO APLICA",IF(T27&lt;=PARAMETROS!$B$13,"SI","NO"))</f>
        <v/>
      </c>
    </row>
    <row r="28">
      <c r="A28" s="18" t="n">
        <v>27</v>
      </c>
      <c r="B28" s="25" t="inlineStr">
        <is>
          <t>DISCUTIBLE</t>
        </is>
      </c>
      <c r="C28" s="20" t="inlineStr"/>
      <c r="D28" s="4" t="n">
        <v>62917</v>
      </c>
      <c r="E28" s="4" t="inlineStr">
        <is>
          <t>Hamburguesería Weiss</t>
        </is>
      </c>
      <c r="F28" s="4" t="inlineStr">
        <is>
          <t>Senno Gabriel</t>
        </is>
      </c>
      <c r="G28" s="4" t="inlineStr">
        <is>
          <t>Corona</t>
        </is>
      </c>
      <c r="H28" s="4" t="inlineStr">
        <is>
          <t>GASTRONOMIA</t>
        </is>
      </c>
      <c r="I28" s="21" t="n">
        <v>45717</v>
      </c>
      <c r="J28" s="21" t="n">
        <v>46357</v>
      </c>
      <c r="K28" s="22" t="n">
        <v>21</v>
      </c>
      <c r="L28" s="14" t="inlineStr">
        <is>
          <t>Pendiente de revisar con región</t>
        </is>
      </c>
      <c r="M28" s="6" t="n">
        <v>6000000</v>
      </c>
      <c r="N28" s="11" t="n">
        <v>0.68</v>
      </c>
      <c r="O28" s="5" t="n">
        <v>6346284.615436553</v>
      </c>
      <c r="P28" s="6">
        <f>M28*(1+N28)</f>
        <v/>
      </c>
      <c r="Q28" s="6">
        <f>P28-O28</f>
        <v/>
      </c>
      <c r="R28" s="23">
        <f>IF(O28=0,"",P28/O28-1)</f>
        <v/>
      </c>
      <c r="S28" s="6">
        <f>IF(B28="CERRO",S27,S27+O28)</f>
        <v/>
      </c>
      <c r="T28" s="6">
        <f>IF(B28="CERRO",T27,T27+P28)</f>
        <v/>
      </c>
      <c r="U28" s="22">
        <f>IF(B28="CERRO","NO APLICA",IF(S28&lt;=PARAMETROS!$B$9,"SI","NO"))</f>
        <v/>
      </c>
      <c r="V28" s="22">
        <f>IF(B28="CERRO","NO APLICA",IF(T28&lt;=PARAMETROS!$B$9,"SI","NO"))</f>
        <v/>
      </c>
      <c r="W28" s="22">
        <f>IF(B28="CERRO","NO APLICA",IF(S28&lt;=PARAMETROS!$B$12,"SI","NO"))</f>
        <v/>
      </c>
      <c r="X28" s="22">
        <f>IF(B28="CERRO","NO APLICA",IF(T28&lt;=PARAMETROS!$B$12,"SI","NO"))</f>
        <v/>
      </c>
      <c r="Y28" s="22">
        <f>IF(B28="CERRO","NO APLICA",IF(S28&lt;=PARAMETROS!$B$13,"SI","NO"))</f>
        <v/>
      </c>
      <c r="Z28" s="22">
        <f>IF(B28="CERRO","NO APLICA",IF(T28&lt;=PARAMETROS!$B$13,"SI","NO"))</f>
        <v/>
      </c>
    </row>
    <row r="29">
      <c r="A29" s="18" t="n">
        <v>28</v>
      </c>
      <c r="B29" s="25" t="inlineStr">
        <is>
          <t>DISCUTIBLE</t>
        </is>
      </c>
      <c r="C29" s="24" t="inlineStr">
        <is>
          <t>Comentario indica que renovaria SIN FEE (bajo volumen). Revisar si corresponde presupuesto $0.</t>
        </is>
      </c>
      <c r="D29" s="4" t="n">
        <v>5726</v>
      </c>
      <c r="E29" s="4" t="inlineStr">
        <is>
          <t xml:space="preserve">El Descorche </t>
        </is>
      </c>
      <c r="F29" s="4" t="inlineStr">
        <is>
          <t>Titno Rosado y Blanco SA</t>
        </is>
      </c>
      <c r="G29" s="4" t="inlineStr">
        <is>
          <t>Patagonia</t>
        </is>
      </c>
      <c r="H29" s="4" t="inlineStr">
        <is>
          <t>GASTRONOMIA</t>
        </is>
      </c>
      <c r="I29" s="21" t="n">
        <v>45566</v>
      </c>
      <c r="J29" s="21" t="n">
        <v>46296</v>
      </c>
      <c r="K29" s="22" t="n">
        <v>24</v>
      </c>
      <c r="L29" s="14" t="inlineStr">
        <is>
          <t>Renueva sin fee; no tiene volumen significativo y no esta en LOL</t>
        </is>
      </c>
      <c r="M29" s="6" t="n">
        <v>5800000</v>
      </c>
      <c r="N29" s="11" t="n">
        <v>0.68</v>
      </c>
      <c r="O29" s="5" t="n">
        <v>6973594.073503916</v>
      </c>
      <c r="P29" s="6">
        <f>M29*(1+N29)</f>
        <v/>
      </c>
      <c r="Q29" s="6">
        <f>P29-O29</f>
        <v/>
      </c>
      <c r="R29" s="23">
        <f>IF(O29=0,"",P29/O29-1)</f>
        <v/>
      </c>
      <c r="S29" s="6">
        <f>IF(B29="CERRO",S28,S28+O29)</f>
        <v/>
      </c>
      <c r="T29" s="6">
        <f>IF(B29="CERRO",T28,T28+P29)</f>
        <v/>
      </c>
      <c r="U29" s="22">
        <f>IF(B29="CERRO","NO APLICA",IF(S29&lt;=PARAMETROS!$B$9,"SI","NO"))</f>
        <v/>
      </c>
      <c r="V29" s="22">
        <f>IF(B29="CERRO","NO APLICA",IF(T29&lt;=PARAMETROS!$B$9,"SI","NO"))</f>
        <v/>
      </c>
      <c r="W29" s="22">
        <f>IF(B29="CERRO","NO APLICA",IF(S29&lt;=PARAMETROS!$B$12,"SI","NO"))</f>
        <v/>
      </c>
      <c r="X29" s="22">
        <f>IF(B29="CERRO","NO APLICA",IF(T29&lt;=PARAMETROS!$B$12,"SI","NO"))</f>
        <v/>
      </c>
      <c r="Y29" s="22">
        <f>IF(B29="CERRO","NO APLICA",IF(S29&lt;=PARAMETROS!$B$13,"SI","NO"))</f>
        <v/>
      </c>
      <c r="Z29" s="22">
        <f>IF(B29="CERRO","NO APLICA",IF(T29&lt;=PARAMETROS!$B$13,"SI","NO"))</f>
        <v/>
      </c>
    </row>
    <row r="30">
      <c r="A30" s="18" t="n">
        <v>29</v>
      </c>
      <c r="B30" s="25" t="inlineStr">
        <is>
          <t>DISCUTIBLE</t>
        </is>
      </c>
      <c r="C30" s="20" t="inlineStr"/>
      <c r="D30" s="4" t="n">
        <v>61357</v>
      </c>
      <c r="E30" s="4" t="inlineStr">
        <is>
          <t>Alamacén de carnes</t>
        </is>
      </c>
      <c r="F30" s="4" t="inlineStr">
        <is>
          <t>MARTIRE MARCOS EMANUEL</t>
        </is>
      </c>
      <c r="G30" s="4" t="inlineStr">
        <is>
          <t>Stella Artois</t>
        </is>
      </c>
      <c r="H30" s="4" t="inlineStr">
        <is>
          <t>GASTRONOMIA</t>
        </is>
      </c>
      <c r="I30" s="21" t="n">
        <v>45962</v>
      </c>
      <c r="J30" s="21" t="n">
        <v>46327</v>
      </c>
      <c r="K30" s="22" t="n">
        <v>12</v>
      </c>
      <c r="L30" s="14" t="inlineStr">
        <is>
          <t>Pendiente de revisar con región</t>
        </is>
      </c>
      <c r="M30" s="6" t="n">
        <v>3000000</v>
      </c>
      <c r="N30" s="11" t="n">
        <v>0.25</v>
      </c>
      <c r="O30" s="5" t="n">
        <v>2943966.630667515</v>
      </c>
      <c r="P30" s="6">
        <f>M30*(1+N30)</f>
        <v/>
      </c>
      <c r="Q30" s="6">
        <f>P30-O30</f>
        <v/>
      </c>
      <c r="R30" s="23">
        <f>IF(O30=0,"",P30/O30-1)</f>
        <v/>
      </c>
      <c r="S30" s="6">
        <f>IF(B30="CERRO",S29,S29+O30)</f>
        <v/>
      </c>
      <c r="T30" s="6">
        <f>IF(B30="CERRO",T29,T29+P30)</f>
        <v/>
      </c>
      <c r="U30" s="22">
        <f>IF(B30="CERRO","NO APLICA",IF(S30&lt;=PARAMETROS!$B$9,"SI","NO"))</f>
        <v/>
      </c>
      <c r="V30" s="22">
        <f>IF(B30="CERRO","NO APLICA",IF(T30&lt;=PARAMETROS!$B$9,"SI","NO"))</f>
        <v/>
      </c>
      <c r="W30" s="22">
        <f>IF(B30="CERRO","NO APLICA",IF(S30&lt;=PARAMETROS!$B$12,"SI","NO"))</f>
        <v/>
      </c>
      <c r="X30" s="22">
        <f>IF(B30="CERRO","NO APLICA",IF(T30&lt;=PARAMETROS!$B$12,"SI","NO"))</f>
        <v/>
      </c>
      <c r="Y30" s="22">
        <f>IF(B30="CERRO","NO APLICA",IF(S30&lt;=PARAMETROS!$B$13,"SI","NO"))</f>
        <v/>
      </c>
      <c r="Z30" s="22">
        <f>IF(B30="CERRO","NO APLICA",IF(T30&lt;=PARAMETROS!$B$13,"SI","NO"))</f>
        <v/>
      </c>
    </row>
    <row r="31">
      <c r="A31" s="18" t="n">
        <v>30</v>
      </c>
      <c r="B31" s="26" t="inlineStr">
        <is>
          <t>CERRO</t>
        </is>
      </c>
      <c r="C31" s="24" t="inlineStr">
        <is>
          <t>CERRO real. Criterio 1 sin dato de origen ($0). Excluido de todos los escenarios (no aplica).</t>
        </is>
      </c>
      <c r="D31" s="4" t="inlineStr">
        <is>
          <t>CERRO CAMBIA DE DUEÑOS Y FORMATO</t>
        </is>
      </c>
      <c r="E31" s="4" t="inlineStr">
        <is>
          <t>Helena Beach</t>
        </is>
      </c>
      <c r="F31" s="4" t="inlineStr">
        <is>
          <t xml:space="preserve">Greco Group </t>
        </is>
      </c>
      <c r="G31" s="4" t="inlineStr">
        <is>
          <t>Stella Artois</t>
        </is>
      </c>
      <c r="H31" s="4" t="inlineStr">
        <is>
          <t>BALNEARIOS</t>
        </is>
      </c>
      <c r="I31" s="21" t="n">
        <v>45658</v>
      </c>
      <c r="J31" s="21" t="n">
        <v>46388</v>
      </c>
      <c r="K31" s="22" t="n">
        <v>24</v>
      </c>
      <c r="L31" s="14" t="inlineStr">
        <is>
          <t>Vence post 2026; charlar mas adelante</t>
        </is>
      </c>
      <c r="M31" s="6" t="n">
        <v>110000000</v>
      </c>
      <c r="N31" s="11" t="n">
        <v>0.68</v>
      </c>
      <c r="O31" s="5" t="n">
        <v>0</v>
      </c>
      <c r="P31" s="6">
        <f>M31*(1+N31)</f>
        <v/>
      </c>
      <c r="Q31" s="6">
        <f>P31-O31</f>
        <v/>
      </c>
      <c r="R31" s="23">
        <f>IF(O31=0,"",P31/O31-1)</f>
        <v/>
      </c>
      <c r="S31" s="6">
        <f>IF(B31="CERRO",S30,S30+O31)</f>
        <v/>
      </c>
      <c r="T31" s="6">
        <f>IF(B31="CERRO",T30,T30+P31)</f>
        <v/>
      </c>
      <c r="U31" s="22">
        <f>IF(B31="CERRO","NO APLICA",IF(S31&lt;=PARAMETROS!$B$9,"SI","NO"))</f>
        <v/>
      </c>
      <c r="V31" s="22">
        <f>IF(B31="CERRO","NO APLICA",IF(T31&lt;=PARAMETROS!$B$9,"SI","NO"))</f>
        <v/>
      </c>
      <c r="W31" s="22">
        <f>IF(B31="CERRO","NO APLICA",IF(S31&lt;=PARAMETROS!$B$12,"SI","NO"))</f>
        <v/>
      </c>
      <c r="X31" s="22">
        <f>IF(B31="CERRO","NO APLICA",IF(T31&lt;=PARAMETROS!$B$12,"SI","NO"))</f>
        <v/>
      </c>
      <c r="Y31" s="22">
        <f>IF(B31="CERRO","NO APLICA",IF(S31&lt;=PARAMETROS!$B$13,"SI","NO"))</f>
        <v/>
      </c>
      <c r="Z31" s="22">
        <f>IF(B31="CERRO","NO APLICA",IF(T31&lt;=PARAMETROS!$B$13,"SI","NO"))</f>
        <v/>
      </c>
    </row>
    <row r="33">
      <c r="L33" s="12" t="inlineStr">
        <is>
          <t>TOTAL 30 CONTRATOS ZBB</t>
        </is>
      </c>
      <c r="M33" s="27">
        <f>SUM(M2:M31)</f>
        <v/>
      </c>
      <c r="O33" s="27">
        <f>SUM(O2:O31)</f>
        <v/>
      </c>
      <c r="P33" s="27">
        <f>SUM(P2:P31)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  <col width="20" customWidth="1" min="10" max="10"/>
  </cols>
  <sheetData>
    <row r="1">
      <c r="A1" s="28" t="inlineStr">
        <is>
          <t>RESUMEN DE ESCENARIOS - BOLSA ZBB (30 contratos, $1.101.000.000 pagados hoy)</t>
        </is>
      </c>
    </row>
    <row r="2">
      <c r="A2" s="29" t="inlineStr">
        <is>
          <t>El contrato CERRO (Helena Beach, $110.000.000) se excluye de los 3 escenarios en todos los casos: no renueva por cierre/cambio de local, no compite por presupuesto.</t>
        </is>
      </c>
    </row>
    <row r="4" ht="32" customHeight="1">
      <c r="A4" s="17" t="inlineStr">
        <is>
          <t>Escenario</t>
        </is>
      </c>
      <c r="B4" s="17" t="inlineStr">
        <is>
          <t>Criterio de costo</t>
        </is>
      </c>
      <c r="C4" s="17" t="inlineStr">
        <is>
          <t>Presupuesto disponible</t>
        </is>
      </c>
      <c r="D4" s="17" t="inlineStr">
        <is>
          <t>Contratos que entran</t>
        </is>
      </c>
      <c r="E4" s="17" t="inlineStr">
        <is>
          <t>Contratos que se pierden</t>
        </is>
      </c>
      <c r="F4" s="17" t="inlineStr">
        <is>
          <t>Monto usado</t>
        </is>
      </c>
      <c r="G4" s="17" t="inlineStr">
        <is>
          <t>Sobrante / Faltante</t>
        </is>
      </c>
      <c r="H4" s="17" t="inlineStr">
        <is>
          <t>Perdidos IMPERDIBLE</t>
        </is>
      </c>
      <c r="I4" s="17" t="inlineStr">
        <is>
          <t>Perdidos DISCUTIBLE</t>
        </is>
      </c>
      <c r="J4" s="17" t="inlineStr">
        <is>
          <t>Monto FEE actual en riesgo (perdidos)</t>
        </is>
      </c>
    </row>
    <row r="5">
      <c r="A5" s="4" t="inlineStr">
        <is>
          <t>Escenario 1</t>
        </is>
      </c>
      <c r="B5" s="4" t="inlineStr">
        <is>
          <t>Criterio 1 - FEE Actualizado</t>
        </is>
      </c>
      <c r="C5" s="6">
        <f>PARAMETROS!$B$9</f>
        <v/>
      </c>
      <c r="D5" s="22">
        <f>COUNTIF('BASE ZBB'!U2:U31,"SI")</f>
        <v/>
      </c>
      <c r="E5" s="22">
        <f>COUNTIF('BASE ZBB'!U2:U31,"NO")</f>
        <v/>
      </c>
      <c r="F5" s="6">
        <f>SUMIFS('BASE ZBB'!O2:O31,'BASE ZBB'!U2:U31,"SI")</f>
        <v/>
      </c>
      <c r="G5" s="6">
        <f>C5-F5</f>
        <v/>
      </c>
      <c r="H5" s="22">
        <f>COUNTIFS('BASE ZBB'!U2:U31,"NO",'BASE ZBB'!$B$2:$B$31,"IMPERDIBLE")</f>
        <v/>
      </c>
      <c r="I5" s="22">
        <f>COUNTIFS('BASE ZBB'!U2:U31,"NO",'BASE ZBB'!$B$2:$B$31,"DISCUTIBLE")</f>
        <v/>
      </c>
      <c r="J5" s="6">
        <f>SUMIFS('BASE ZBB'!$M$2:$M$31,'BASE ZBB'!U2:U31,"NO")</f>
        <v/>
      </c>
    </row>
    <row r="6">
      <c r="A6" s="4" t="inlineStr">
        <is>
          <t>Escenario 1</t>
        </is>
      </c>
      <c r="B6" s="4" t="inlineStr">
        <is>
          <t>Criterio 2 - FEE + Inflacion</t>
        </is>
      </c>
      <c r="C6" s="6">
        <f>PARAMETROS!$B$9</f>
        <v/>
      </c>
      <c r="D6" s="22">
        <f>COUNTIF('BASE ZBB'!V2:V31,"SI")</f>
        <v/>
      </c>
      <c r="E6" s="22">
        <f>COUNTIF('BASE ZBB'!V2:V31,"NO")</f>
        <v/>
      </c>
      <c r="F6" s="6">
        <f>SUMIFS('BASE ZBB'!P2:P31,'BASE ZBB'!V2:V31,"SI")</f>
        <v/>
      </c>
      <c r="G6" s="6">
        <f>C6-F6</f>
        <v/>
      </c>
      <c r="H6" s="22">
        <f>COUNTIFS('BASE ZBB'!V2:V31,"NO",'BASE ZBB'!$B$2:$B$31,"IMPERDIBLE")</f>
        <v/>
      </c>
      <c r="I6" s="22">
        <f>COUNTIFS('BASE ZBB'!V2:V31,"NO",'BASE ZBB'!$B$2:$B$31,"DISCUTIBLE")</f>
        <v/>
      </c>
      <c r="J6" s="6">
        <f>SUMIFS('BASE ZBB'!$M$2:$M$31,'BASE ZBB'!V2:V31,"NO")</f>
        <v/>
      </c>
    </row>
    <row r="8">
      <c r="A8" s="4" t="inlineStr">
        <is>
          <t>Escenario 2</t>
        </is>
      </c>
      <c r="B8" s="4" t="inlineStr">
        <is>
          <t>Criterio 1 - FEE Actualizado</t>
        </is>
      </c>
      <c r="C8" s="6">
        <f>PARAMETROS!$B$12</f>
        <v/>
      </c>
      <c r="D8" s="22">
        <f>COUNTIF('BASE ZBB'!W2:W31,"SI")</f>
        <v/>
      </c>
      <c r="E8" s="22">
        <f>COUNTIF('BASE ZBB'!W2:W31,"NO")</f>
        <v/>
      </c>
      <c r="F8" s="6">
        <f>SUMIFS('BASE ZBB'!O2:O31,'BASE ZBB'!W2:W31,"SI")</f>
        <v/>
      </c>
      <c r="G8" s="6">
        <f>C8-F8</f>
        <v/>
      </c>
      <c r="H8" s="22">
        <f>COUNTIFS('BASE ZBB'!W2:W31,"NO",'BASE ZBB'!$B$2:$B$31,"IMPERDIBLE")</f>
        <v/>
      </c>
      <c r="I8" s="22">
        <f>COUNTIFS('BASE ZBB'!W2:W31,"NO",'BASE ZBB'!$B$2:$B$31,"DISCUTIBLE")</f>
        <v/>
      </c>
      <c r="J8" s="6">
        <f>SUMIFS('BASE ZBB'!$M$2:$M$31,'BASE ZBB'!W2:W31,"NO")</f>
        <v/>
      </c>
    </row>
    <row r="9">
      <c r="A9" s="4" t="inlineStr">
        <is>
          <t>Escenario 2</t>
        </is>
      </c>
      <c r="B9" s="4" t="inlineStr">
        <is>
          <t>Criterio 2 - FEE + Inflacion</t>
        </is>
      </c>
      <c r="C9" s="6">
        <f>PARAMETROS!$B$12</f>
        <v/>
      </c>
      <c r="D9" s="22">
        <f>COUNTIF('BASE ZBB'!X2:X31,"SI")</f>
        <v/>
      </c>
      <c r="E9" s="22">
        <f>COUNTIF('BASE ZBB'!X2:X31,"NO")</f>
        <v/>
      </c>
      <c r="F9" s="6">
        <f>SUMIFS('BASE ZBB'!P2:P31,'BASE ZBB'!X2:X31,"SI")</f>
        <v/>
      </c>
      <c r="G9" s="6">
        <f>C9-F9</f>
        <v/>
      </c>
      <c r="H9" s="22">
        <f>COUNTIFS('BASE ZBB'!X2:X31,"NO",'BASE ZBB'!$B$2:$B$31,"IMPERDIBLE")</f>
        <v/>
      </c>
      <c r="I9" s="22">
        <f>COUNTIFS('BASE ZBB'!X2:X31,"NO",'BASE ZBB'!$B$2:$B$31,"DISCUTIBLE")</f>
        <v/>
      </c>
      <c r="J9" s="6">
        <f>SUMIFS('BASE ZBB'!$M$2:$M$31,'BASE ZBB'!X2:X31,"NO")</f>
        <v/>
      </c>
    </row>
    <row r="11">
      <c r="A11" s="4" t="inlineStr">
        <is>
          <t>Escenario 3</t>
        </is>
      </c>
      <c r="B11" s="4" t="inlineStr">
        <is>
          <t>Criterio 1 - FEE Actualizado</t>
        </is>
      </c>
      <c r="C11" s="6">
        <f>PARAMETROS!$B$13</f>
        <v/>
      </c>
      <c r="D11" s="22">
        <f>COUNTIF('BASE ZBB'!Y2:Y31,"SI")</f>
        <v/>
      </c>
      <c r="E11" s="22">
        <f>COUNTIF('BASE ZBB'!Y2:Y31,"NO")</f>
        <v/>
      </c>
      <c r="F11" s="6">
        <f>SUMIFS('BASE ZBB'!O2:O31,'BASE ZBB'!Y2:Y31,"SI")</f>
        <v/>
      </c>
      <c r="G11" s="6">
        <f>C11-F11</f>
        <v/>
      </c>
      <c r="H11" s="22">
        <f>COUNTIFS('BASE ZBB'!Y2:Y31,"NO",'BASE ZBB'!$B$2:$B$31,"IMPERDIBLE")</f>
        <v/>
      </c>
      <c r="I11" s="22">
        <f>COUNTIFS('BASE ZBB'!Y2:Y31,"NO",'BASE ZBB'!$B$2:$B$31,"DISCUTIBLE")</f>
        <v/>
      </c>
      <c r="J11" s="6">
        <f>SUMIFS('BASE ZBB'!$M$2:$M$31,'BASE ZBB'!Y2:Y31,"NO")</f>
        <v/>
      </c>
    </row>
    <row r="12">
      <c r="A12" s="4" t="inlineStr">
        <is>
          <t>Escenario 3</t>
        </is>
      </c>
      <c r="B12" s="4" t="inlineStr">
        <is>
          <t>Criterio 2 - FEE + Inflacion</t>
        </is>
      </c>
      <c r="C12" s="6">
        <f>PARAMETROS!$B$13</f>
        <v/>
      </c>
      <c r="D12" s="22">
        <f>COUNTIF('BASE ZBB'!Z2:Z31,"SI")</f>
        <v/>
      </c>
      <c r="E12" s="22">
        <f>COUNTIF('BASE ZBB'!Z2:Z31,"NO")</f>
        <v/>
      </c>
      <c r="F12" s="6">
        <f>SUMIFS('BASE ZBB'!P2:P31,'BASE ZBB'!Z2:Z31,"SI")</f>
        <v/>
      </c>
      <c r="G12" s="6">
        <f>C12-F12</f>
        <v/>
      </c>
      <c r="H12" s="22">
        <f>COUNTIFS('BASE ZBB'!Z2:Z31,"NO",'BASE ZBB'!$B$2:$B$31,"IMPERDIBLE")</f>
        <v/>
      </c>
      <c r="I12" s="22">
        <f>COUNTIFS('BASE ZBB'!Z2:Z31,"NO",'BASE ZBB'!$B$2:$B$31,"DISCUTIBLE")</f>
        <v/>
      </c>
      <c r="J12" s="6">
        <f>SUMIFS('BASE ZBB'!$M$2:$M$31,'BASE ZBB'!Z2:Z31,"NO")</f>
        <v/>
      </c>
    </row>
    <row r="14">
      <c r="A14" s="3" t="inlineStr">
        <is>
          <t>COMO VER EL LISTADO EXACTO DE CLIENTES QUE SE PIERDEN</t>
        </is>
      </c>
    </row>
    <row r="15" ht="30" customHeight="1">
      <c r="A15" s="15" t="inlineStr">
        <is>
          <t>En la hoja "BASE ZBB", usar el filtro (encabezado con flecha) de la columna del escenario/criterio que se quiera ver (ej. "Escenario 1 - Entra (C1)") y filtrar por "NO". Las filas visibles son los clientes que se pierden en ese escenario.</t>
        </is>
      </c>
    </row>
  </sheetData>
  <mergeCells count="1"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2026-07-21T18:11:14Z</dcterms:created>
  <dcterms:modified xsi:type="dcterms:W3CDTF">2026-07-21T18:11:14Z</dcterms:modified>
</cp:coreProperties>
</file>